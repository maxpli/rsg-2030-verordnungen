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maxplischke/Developer/GitHub/rsg-2030-verordnungen/rsg2030/eingaben/2026/"/>
    </mc:Choice>
  </mc:AlternateContent>
  <xr:revisionPtr revIDLastSave="0" documentId="13_ncr:1_{29BDB9CF-3C9D-D346-B80B-65FB53CB3550}" xr6:coauthVersionLast="47" xr6:coauthVersionMax="47" xr10:uidLastSave="{00000000-0000-0000-0000-000000000000}"/>
  <bookViews>
    <workbookView xWindow="0" yWindow="600" windowWidth="60160" windowHeight="31080" activeTab="5" xr2:uid="{00000000-000D-0000-FFFF-FFFF00000000}"/>
  </bookViews>
  <sheets>
    <sheet name="Anleitung" sheetId="1" r:id="rId1"/>
    <sheet name="Zweitlesung" sheetId="2" r:id="rId2"/>
    <sheet name="Bildseiten" sheetId="3" r:id="rId3"/>
    <sheet name="Spalten" sheetId="4" r:id="rId4"/>
    <sheet name="Zeilen" sheetId="5" r:id="rId5"/>
    <sheet name="Fußnoten" sheetId="6" r:id="rId6"/>
    <sheet name="Entscheidungen" sheetId="7" r:id="rId7"/>
  </sheets>
  <definedNames>
    <definedName name="_xlnm._FilterDatabase" localSheetId="2" hidden="1">Bildseiten!$A$2:$E$4</definedName>
    <definedName name="_xlnm._FilterDatabase" localSheetId="6" hidden="1">Entscheidungen!$A$2:$M$50</definedName>
    <definedName name="_xlnm._FilterDatabase" localSheetId="5" hidden="1">Fußnoten!$A$2:$I$47</definedName>
    <definedName name="_xlnm._FilterDatabase" localSheetId="3" hidden="1">Spalten!$A$2:$F$8</definedName>
    <definedName name="_xlnm._FilterDatabase" localSheetId="4" hidden="1">Zeilen!$A$2:$J$30</definedName>
    <definedName name="_xlnm._FilterDatabase" localSheetId="1" hidden="1">Zweitlesung!$A$2:$L$17</definedName>
  </definedNames>
  <calcPr calcId="0"/>
</workbook>
</file>

<file path=xl/sharedStrings.xml><?xml version="1.0" encoding="utf-8"?>
<sst xmlns="http://schemas.openxmlformats.org/spreadsheetml/2006/main" count="1629" uniqueCount="797">
  <si>
    <t>Freigabe RSG 2030 – was ein Mensch am PDF bestätigt</t>
  </si>
  <si>
    <t>Jede Zelle ist zweimal unabhängig gelesen (Parser bzw. Abschrift; KI aus dem Seitenbild), und bei jedem Lauf rechnen</t>
  </si>
  <si>
    <t>die Prüfungen Summen und Teile nach. Hier steht nur, was keine Maschine unabhängig prüfen kann:</t>
  </si>
  <si>
    <t xml:space="preserve">  Zweitlesung     Zellen, in denen die Zweitlesung (Seitenbild) etwas anderes liest als der Datensatz oder die sie nicht verglichen hat</t>
  </si>
  <si>
    <t xml:space="preserve">  Bildseiten      Seiten ohne Textebene: welche Region dort steht</t>
  </si>
  <si>
    <t xml:space="preserve">  Spalten         Fachspalten eines Landes, die von der ÖSG-Vorlage abweichen, und Kopfzeilen mit einer Zuordnung, die nicht schon der Kopf selbst ist (sonst: Maschine)</t>
  </si>
  <si>
    <t xml:space="preserve">  Zeilen          Zeilenbeschriftung im PDF, die nicht die der ÖSG-Vorlage ist, und die Zeile, der sie zugeordnet ist</t>
  </si>
  <si>
    <t xml:space="preserve">  Fußnoten        Jede Fußnote der Matrixseiten, die nicht wörtlich der ÖSG-Vorlage entspricht, mit ihrer Einordnung</t>
  </si>
  <si>
    <t xml:space="preserve">  Entscheidungen  Jede Korrektur, jede bekannte Abweichung, jede Ableitung</t>
  </si>
  <si>
    <t>Was zu tun ist, steht in jedem Blatt in der ersten Zeile. Je Zeile prüfen, in «bestätigt» ja eintragen.</t>
  </si>
  <si>
    <t>Eine Bestätigung ist eine Aussage über das PDF – nicht über eine Begründung. Im Zweifel leer lassen und anmerken.</t>
  </si>
  <si>
    <t>Ändert sich bestätigter Inhalt (neue Fassung, andere Regel, anders gelesener Wert), wird die Zeile wieder offen.</t>
  </si>
  <si>
    <t>Mappe auf den Datenstand bringen (Haken bleiben):  python -m rsg2030 freigabe</t>
  </si>
  <si>
    <t>Danach:  python -m rsg2030 daten  →  «FREIGEGEBEN», wenn alles bestätigt ist.</t>
  </si>
  <si>
    <t>Wer wann bestätigt hat, steht in der Git-Historie dieser Datei: nach dem Abhaken committen (eigener Name als Autor).</t>
  </si>
  <si>
    <t>Warum genau diese Blätter: docs/PRUEFUNG.md, «Wer prüft was».</t>
  </si>
  <si>
    <t>Prüfen: PDF und Seite öffnen: Was steht dort? Stimmt «Wert im Datensatz» (auch «(leer)»): bestätigt = ja, «Wert laut PDF» frei lassen (dann hat die Zweitlesung verlesen). Stimmt er nicht: bestätigt = ja und den Wert laut PDF eintragen – das ist ein Lesefehler im Datensatz. «(nicht verglichen: Zeile unvollständig gelesen)»: die KI hat die Zeile mit zu wenigen Werten gelesen; den Wert im Datensatz ebenso prüfen. «Wert im Datensatz» ist der Text, wie er im PDF gelesen wurde; «nach Regel» zeigt nur zur Information, was eine Korrektur oder Ableitung daraus macht (bestätigt wird das im Blatt «Entscheidungen»).</t>
  </si>
  <si>
    <t>Wo</t>
  </si>
  <si>
    <t>Zeile</t>
  </si>
  <si>
    <t>Einheit</t>
  </si>
  <si>
    <t>Fach</t>
  </si>
  <si>
    <t>PDF</t>
  </si>
  <si>
    <t>Seite</t>
  </si>
  <si>
    <t>Wert im Datensatz</t>
  </si>
  <si>
    <t>Zweitlesung</t>
  </si>
  <si>
    <t>nach Regel (zur Information)</t>
  </si>
  <si>
    <t>bestätigt</t>
  </si>
  <si>
    <t>Wert laut PDF (falls anders)</t>
  </si>
  <si>
    <t>Anmerkung</t>
  </si>
  <si>
    <t>Schluessel</t>
  </si>
  <si>
    <t>Pruefstand</t>
  </si>
  <si>
    <t>Burgenland · aequivalent · PLAN</t>
  </si>
  <si>
    <t>ÄAVE niedergelassene ÄrztInnen und in selbständigen Ambulatorien (mit Kassenvertrag und kasseneigene) gesamt</t>
  </si>
  <si>
    <t>ÄAVE</t>
  </si>
  <si>
    <t>IM</t>
  </si>
  <si>
    <t>RSG_Bgld_2030_Verordnung_Anlage_1_final.pdf</t>
  </si>
  <si>
    <t>18,3</t>
  </si>
  <si>
    <t>16,3</t>
  </si>
  <si>
    <t>ja</t>
  </si>
  <si>
    <t>Burgenland|BL|Burgenland|aequivalent|PLAN|extramural|IM</t>
  </si>
  <si>
    <t>34c30a6498d4</t>
  </si>
  <si>
    <t>Burgenland · haupt · PLAN</t>
  </si>
  <si>
    <t>ÄAVE niedergelassene ÄrztInnen und in selbstständigen Ambulatorien (mit Kassenvertrag und kasseneigene) gesamt</t>
  </si>
  <si>
    <t>Burgenland|BL|Burgenland|haupt|PLAN|extramural|IM</t>
  </si>
  <si>
    <t>Kärnten · aequivalent · IST</t>
  </si>
  <si>
    <t>ÄAVE in Kassenambulatorien (kasseneigene selbstständige Ambulatorien)</t>
  </si>
  <si>
    <t>NEU</t>
  </si>
  <si>
    <t>3_2026_2_Verordnung_RSG_Kaernten_V_2030_Anhang.pdf</t>
  </si>
  <si>
    <t>(leer)</t>
  </si>
  <si>
    <t>-</t>
  </si>
  <si>
    <t>Kärnten|BL|Kärnten|aequivalent|IST|kassen_amb|NEU</t>
  </si>
  <si>
    <t>7d135682bd8c</t>
  </si>
  <si>
    <t>PSY</t>
  </si>
  <si>
    <t>Kärnten|BL|Kärnten|aequivalent|IST|kassen_amb|PSY</t>
  </si>
  <si>
    <t>OÖ VR 44 · haupt · PLAN</t>
  </si>
  <si>
    <t>- davon maximal als vertragsärztliche Planstellen in % – zu: «zusätzliche SVS-Sachleistungsstellen»</t>
  </si>
  <si>
    <t>Prozent</t>
  </si>
  <si>
    <t>DER</t>
  </si>
  <si>
    <t>4.VO_RSG_OOe_2030_Anlage.pdf</t>
  </si>
  <si>
    <t>100,0</t>
  </si>
  <si>
    <t>OÖ|VR|44|haupt|PLAN|slst_zus_svs_max_vaep_prozent|DER</t>
  </si>
  <si>
    <t>4eb38e56735b</t>
  </si>
  <si>
    <t>OÖ|VR|44|haupt|PLAN|slst_zus_svs_max_vaep_prozent|PSY</t>
  </si>
  <si>
    <t>79246be8ab47</t>
  </si>
  <si>
    <t>Steiermark VR 62 · aequivalent · IST</t>
  </si>
  <si>
    <t>ÄAVE spitalsambulant</t>
  </si>
  <si>
    <t>AN</t>
  </si>
  <si>
    <t>VO_RSG_Stmk_Anlage_1.pdf</t>
  </si>
  <si>
    <t>Steiermark|VR|62|aequivalent|IST|spitalsambulant|AN</t>
  </si>
  <si>
    <t>9e1c5e5aea9c</t>
  </si>
  <si>
    <t>KJP</t>
  </si>
  <si>
    <t>Steiermark|VR|62|aequivalent|IST|spitalsambulant|KJP</t>
  </si>
  <si>
    <t>Steiermark VR 64 · haupt · IST</t>
  </si>
  <si>
    <t>RAD</t>
  </si>
  <si>
    <t>Steiermark|VR|64|haupt|IST|kassen_amb|RAD</t>
  </si>
  <si>
    <t>Steiermark · haupt · PLAN</t>
  </si>
  <si>
    <t>- davon in EVA</t>
  </si>
  <si>
    <t>Stellen</t>
  </si>
  <si>
    <t>AM</t>
  </si>
  <si>
    <t>x</t>
  </si>
  <si>
    <t>(nicht verglichen: Zeile unvollständig gelesen)</t>
  </si>
  <si>
    <t>Steiermark|BL|Steiermark|haupt|PLAN|slst_eva|AM</t>
  </si>
  <si>
    <t>ebbd9ae78f7f</t>
  </si>
  <si>
    <t>gesamt</t>
  </si>
  <si>
    <t>0,0</t>
  </si>
  <si>
    <t>Steiermark|BL|Steiermark|haupt|PLAN|slst_eva|gesamt</t>
  </si>
  <si>
    <t>280203925405</t>
  </si>
  <si>
    <t>Wien VR 92 · haupt · PLAN</t>
  </si>
  <si>
    <t>PLAN ÄAVE insgesamt 2030</t>
  </si>
  <si>
    <t>RSG_VO_Wien_2030_Anlage.pdf</t>
  </si>
  <si>
    <t>1339 (summe:spitalsambulant+extramural)</t>
  </si>
  <si>
    <t>Wien|VR|92|haupt|PLAN|insgesamt|gesamt</t>
  </si>
  <si>
    <t>5d61aceac18b</t>
  </si>
  <si>
    <t>8</t>
  </si>
  <si>
    <t>Wien|VR|92|haupt|PLAN|slst_eva|AM</t>
  </si>
  <si>
    <t>8a0389ab7838</t>
  </si>
  <si>
    <t>Wien|VR|92|haupt|PLAN|slst_eva|gesamt</t>
  </si>
  <si>
    <t>Wien VR 93 · haupt · PLAN</t>
  </si>
  <si>
    <t>831 (summe:spitalsambulant+extramural)</t>
  </si>
  <si>
    <t>Wien|VR|93|haupt|PLAN|insgesamt|gesamt</t>
  </si>
  <si>
    <t>Prüfen: PDF und Seite öffnen: Ist das die Planungsmatrix dieser Region (Überschrift, Nummer der Versorgungsregion)? Wenn ja: bestätigt = ja. Die Werte dieser Seiten prüft das Blatt «Zweitlesung» wie auf jeder anderen Seite – Abschrift von Hand und KI-Lesung sind zwei unabhängige Lesungen.</t>
  </si>
  <si>
    <t>Region laut Seitenregister</t>
  </si>
  <si>
    <t>Burgenland</t>
  </si>
  <si>
    <t>Seite|Burgenland|BL|Burgenland</t>
  </si>
  <si>
    <t>46968616b40e</t>
  </si>
  <si>
    <t>Kärnten VR 21 Kärnten-Ost</t>
  </si>
  <si>
    <t>Seite|Kärnten|VR|21</t>
  </si>
  <si>
    <t>1ac02ab8b32f</t>
  </si>
  <si>
    <t>Prüfen: «Spalten anders als in der ÖSG-Vorlage»: an einer Kopfzeile des Landes nachsehen – hat die Matrix diese zusätzlichen Spalten, und fehlen diese wirklich? Was eine zusätzliche Spalte bedeutet, steht in docs/METHODIK.md (KFO: R4). Sonst: Die Kopfzeile steht genau so an jeder unter «Vorkommen» genannten Stelle – eine davon ansehen genügt (die wievielte Kopfzeile der Seite, und was direkt darunter steht). Stehen die Köpfe in dieser Reihenfolge da, fehlt keiner, und ist jede Zuordnung «Kopf → Fachspalte» richtig (z. B. «SON → SON/IDB»)? Kopfzeilen, in denen jeder Kopf ohne Fußnotenzeichen schon seine Fachspalte ist, stehen nicht hier.</t>
  </si>
  <si>
    <t>Land</t>
  </si>
  <si>
    <t>Spaltenköpfe → Fachspalte</t>
  </si>
  <si>
    <t>Vorkommen (Matrix, Seite, die wievielte Kopfzeile)</t>
  </si>
  <si>
    <t>Darunter steht (beim ersten Vorkommen)</t>
  </si>
  <si>
    <t>Spalten anders als in der ÖSG-Vorlage – zusätzlich: KFO · fehlt: STR</t>
  </si>
  <si>
    <t>VR 11 S.3, 1. Kopfzeile (und 5 weitere Kopfzeilen)</t>
  </si>
  <si>
    <t>IST ÄAVE &amp; SVE 2022</t>
  </si>
  <si>
    <t>Burgenland|Vorlage</t>
  </si>
  <si>
    <t>a9454b128bae</t>
  </si>
  <si>
    <t>Kärnten</t>
  </si>
  <si>
    <t>Spalten anders als in der ÖSG-Vorlage – zusätzlich: KFO · fehlt: MKG, STR</t>
  </si>
  <si>
    <t>BL S.97, 1. Kopfzeile (und 5 weitere Kopfzeilen)</t>
  </si>
  <si>
    <t>IST ÄAVE/SVE 2022</t>
  </si>
  <si>
    <t>Kärnten|Vorlage</t>
  </si>
  <si>
    <t>c315c8e333ee</t>
  </si>
  <si>
    <t>NÖ</t>
  </si>
  <si>
    <t>Spalten anders als in der ÖSG-Vorlage – zusätzlich: KFO</t>
  </si>
  <si>
    <t>BL S.1, 1. Kopfzeile (und 5 weitere Kopfzeilen)</t>
  </si>
  <si>
    <t>IST ÄAVE 2023</t>
  </si>
  <si>
    <t>NÖ|Vorlage</t>
  </si>
  <si>
    <t>814f8548b01d</t>
  </si>
  <si>
    <t>Salzburg</t>
  </si>
  <si>
    <t>BL S.1, 1. Kopfzeile (und 2 weitere Kopfzeilen)</t>
  </si>
  <si>
    <t>Salzburg|Vorlage</t>
  </si>
  <si>
    <t>Steiermark</t>
  </si>
  <si>
    <t>BL S.1, 1. Kopfzeile (und 20 weitere Kopfzeilen)</t>
  </si>
  <si>
    <t>Steiermark|Vorlage</t>
  </si>
  <si>
    <t>Tirol</t>
  </si>
  <si>
    <t>BL S.1, 1. Kopfzeile (und 4 weitere Kopfzeilen)</t>
  </si>
  <si>
    <t>Tirol|Vorlage</t>
  </si>
  <si>
    <t>Prüfen: Passt die Beschriftung (wie im PDF, ohne Fußnotenzeichen, Jahr als 20xx) zur Bedeutung der Zeile_ID? Beschriftungen wie in der ÖSG-Vorlage (Tabellenband S.259; «ÄAVE (ggf. SVE)» auch als «ÄAVE» oder «SVE») stehen nicht hier. Block «haupt» der SVE-Länder: Zählung des Landes (z. B. SVE spitalsambulant), vergleichbare ÄAVE erst im Block «aequivalent» – die Zeile_ID nennt die Zeile, nicht die Einheit. Beschreibung aller Zeilen: docs/DATEN.md, «Zeilen».</t>
  </si>
  <si>
    <t>Abschnitt</t>
  </si>
  <si>
    <t>Block</t>
  </si>
  <si>
    <t>Beschriftung im PDF</t>
  </si>
  <si>
    <t>Zeile_ID</t>
  </si>
  <si>
    <t>Bedeutung</t>
  </si>
  <si>
    <t>Länder</t>
  </si>
  <si>
    <t>Matrizen</t>
  </si>
  <si>
    <t>IST</t>
  </si>
  <si>
    <t>haupt, aequivalent</t>
  </si>
  <si>
    <t>- davon ÄAVE in VGF (Gruppenpraxen, PVE, Ambulatorien) gesamt</t>
  </si>
  <si>
    <t>vgf</t>
  </si>
  <si>
    <t>davon in VGF gesamt (IST: Gruppenpraxen, PVE, Ambulatorien; PLAN: PVE, Ambulatorien)</t>
  </si>
  <si>
    <t>Burgenland, Kärnten, Steiermark</t>
  </si>
  <si>
    <t>IST|-davonäaveinvgf(gruppenpraxen,pve,ambulatorien)gesamt|vgf</t>
  </si>
  <si>
    <t>39599fd65298</t>
  </si>
  <si>
    <t>- davon ÄAVE in PVE (Zentren und Netzwerke)</t>
  </si>
  <si>
    <t>pve</t>
  </si>
  <si>
    <t>davon in PVE (Zentren und Netzwerke; PLAN: zumindest)</t>
  </si>
  <si>
    <t>IST|-davonäaveinpve(zentrenundnetzwerke)|pve</t>
  </si>
  <si>
    <t>168a32762632</t>
  </si>
  <si>
    <t>haupt</t>
  </si>
  <si>
    <t>Anzahl Ambulatorien-Standorte (mit Kassenvertrag und kasseneigen) [im PDF gesperrt gesetzt]</t>
  </si>
  <si>
    <t>amb_standorte</t>
  </si>
  <si>
    <t>Anzahl</t>
  </si>
  <si>
    <t>Anzahl Ambulatorien-Standorte (mit Kassenvertrag und kasseneigen)</t>
  </si>
  <si>
    <t>IST|istanzahlambulatorien-standorte(mitkassenvertragundkasseneigen)gesamt2022|amb_standorte</t>
  </si>
  <si>
    <t>2be148ed13b0</t>
  </si>
  <si>
    <t>PLAN</t>
  </si>
  <si>
    <t>- davon zumindest ÄAVE in PVE (Zentren und Netzwerke)</t>
  </si>
  <si>
    <t>Burgenland, Kärnten</t>
  </si>
  <si>
    <t>PLAN|-davonzumindestäaveinpve(zentrenundnetzwerke)|pve</t>
  </si>
  <si>
    <t>aequivalent</t>
  </si>
  <si>
    <t>ÄAVE in selbständige Ambulatorien (mit Kassenvertrag)</t>
  </si>
  <si>
    <t>selbst_amb</t>
  </si>
  <si>
    <t>IST|äaveinselbstständigeambulatorien(mitkassenvertrag)|selbst_amb</t>
  </si>
  <si>
    <t>d8ccf8329fe2</t>
  </si>
  <si>
    <t>ÄAVE insgesamt 20xx</t>
  </si>
  <si>
    <t>insgesamt</t>
  </si>
  <si>
    <t>ÄAVE insgesamt</t>
  </si>
  <si>
    <t>IST|äaveinsgesamt20xx|insgesamt</t>
  </si>
  <si>
    <t>5799fca0937d</t>
  </si>
  <si>
    <t>ÄAVE niedergelassene ÄrztInnen und in selbstständigen Ambulatorien (mit Kassenvertrag und kasseneigene)</t>
  </si>
  <si>
    <t>extramural</t>
  </si>
  <si>
    <t>Burgenland, Steiermark</t>
  </si>
  <si>
    <t>PLAN|äaveniedergelasseneärztinnenundinselbstständigenambulatorien(mitkassenvertragundkasseneigene)|extramural</t>
  </si>
  <si>
    <t>67e28542bf1e</t>
  </si>
  <si>
    <t>ÄAVE-Ä &amp; ÄAVE insgesamt 20xx</t>
  </si>
  <si>
    <t>PLAN|äave-ä&amp;äaveinsgesamt20xx|insgesamt</t>
  </si>
  <si>
    <t>PLAN|-davonäaveinpve(zentrenundnetzwerke)|pve</t>
  </si>
  <si>
    <t>Umrechnungsfaktor für ÄrztInnen spitalsambulant 20xx</t>
  </si>
  <si>
    <t>umr_spitalsambulant</t>
  </si>
  <si>
    <t>Faktor</t>
  </si>
  <si>
    <t>Umrechnungsfaktor SVE → ÄAVE, spitalsambulant (nur SVE-Länder)</t>
  </si>
  <si>
    <t>IST|umrechnungsfaktorfürärztinnenspitalsambulant20xx|umr_spitalsambulant</t>
  </si>
  <si>
    <t>d1e01d5e87ce</t>
  </si>
  <si>
    <t>ÄAVE niedergelassene ÄrztInnen und in selbst-ständigen Ambulatorien (mit Kassenvertrag und kasseneigene) gesamt</t>
  </si>
  <si>
    <t>NÖ, Tirol</t>
  </si>
  <si>
    <t>PLAN|äaveniedergelasseneärztinnenundinselbst-ständigenambulatorien(mitkassenvertragundkasseneigene)gesamt|extramural</t>
  </si>
  <si>
    <t>- davon in VGF (PVE, Ambulatorien)</t>
  </si>
  <si>
    <t>OÖ</t>
  </si>
  <si>
    <t>PLAN|-davoninvgf(pve,ambulatorien)|vgf</t>
  </si>
  <si>
    <t>- davon in VGF (PVE, Ambulatorien) gesamt</t>
  </si>
  <si>
    <t>PLAN|-davoninvgf(pve,ambulatorien)gesamt|vgf</t>
  </si>
  <si>
    <t>Umrechnungsfaktor für ÄrztInnen spitalsambulant</t>
  </si>
  <si>
    <t>PLAN|umrechnungsfaktorfürärztinnenspitalsambulant|umr_spitalsambulant</t>
  </si>
  <si>
    <t>REGIOMED-Umrechnungsfaktor für niedergelassene ÄrztInnen (mit Kassenvertrag)</t>
  </si>
  <si>
    <t>umr_niedergelassen</t>
  </si>
  <si>
    <t>Umrechnungsfaktor SVE → ÄAVE, niedergelassen mit Kassenvertrag (Regiomed; nur SVE-Länder)</t>
  </si>
  <si>
    <t>PLAN|regiomed-umrechnungsfaktorfürniedergelasseneärztinnen(mitkassenvertrag)|umr_niedergelassen</t>
  </si>
  <si>
    <t>b4631a747f8f</t>
  </si>
  <si>
    <t>Umrechnungsfaktor für ÄrztInnen in selbständigen Ambulatorien (mit Kassenvertrag)</t>
  </si>
  <si>
    <t>umr_selbst_amb</t>
  </si>
  <si>
    <t>Umrechnungsfaktor SVE → ÄAVE, selbständige Ambulatorien mit Kassenvertrag (nur SVE-Länder)</t>
  </si>
  <si>
    <t>PLAN|umrechnungsfaktorfürärztinneninselbstständigenambulatorien(mitkassenvertrag)|umr_selbst_amb</t>
  </si>
  <si>
    <t>c3306200200f</t>
  </si>
  <si>
    <t>Umrechnungsfaktor für ÄrztInnen in Kassenambulatorien</t>
  </si>
  <si>
    <t>umr_kassen_amb</t>
  </si>
  <si>
    <t>Umrechnungsfaktor SVE → ÄAVE, Kassenambulatorien (nur SVE-Länder)</t>
  </si>
  <si>
    <t>PLAN|umrechnungsfaktorfürärztinneninkassenambulatorien|umr_kassen_amb</t>
  </si>
  <si>
    <t>05c7ca184c60</t>
  </si>
  <si>
    <t>Umrechnungsfaktor für WahlärztInnen und in selbstständigen Ambulatorien (ohne Kassenvertrag)</t>
  </si>
  <si>
    <t>umr_wahl</t>
  </si>
  <si>
    <t>Umrechnungsfaktor SVE → ÄAVE, Wahlärzt:innen und Ambulatorien ohne Kassenvertrag (nur SVE-Länder)</t>
  </si>
  <si>
    <t>PLAN|umrechnungsfaktorfürwahlärztinnenundinselbstständigenambulatorien(ohnekassenvertrag)|umr_wahl</t>
  </si>
  <si>
    <t>c92ab807527b</t>
  </si>
  <si>
    <t>ÄAVE/ÄAVE-Ä WahlärztInnen und in selbstständigen Ambulatorien (ohne Kassenvertrag)</t>
  </si>
  <si>
    <t>wahl</t>
  </si>
  <si>
    <t>ÄAVE WahlärztInnen und in selbstständigen Ambulatorien (ohne Kassenvertrag)</t>
  </si>
  <si>
    <t>IST|äave/äave-äwahlärztinnenundinselbstständigenambulatorien(ohnekassenvertrag)|wahl</t>
  </si>
  <si>
    <t>a86c0c431fa3</t>
  </si>
  <si>
    <t>Wien</t>
  </si>
  <si>
    <t>IST|äaveniedergelasseneärztinnenundinselbstständigenambulatorien(mitkassenvertragundkasseneigene)gesamt|extramural</t>
  </si>
  <si>
    <t>ÄAVE Summe extramural inkl. WahlärztInnen</t>
  </si>
  <si>
    <t>extramural_inkl_wahl</t>
  </si>
  <si>
    <t>IST|äavesummeextramuralinkl.wahlärztinnen|extramural_inkl_wahl</t>
  </si>
  <si>
    <t>29349e773c15</t>
  </si>
  <si>
    <t>ÖGK/SVS/BVAEB Planstellen gesamt</t>
  </si>
  <si>
    <t>planstellen_oegk_svs_bvaeb</t>
  </si>
  <si>
    <t>ÖGK/SVS/BVAEB Planstellen gesamt (Wien, Fußnote: ohne Bereinigung von Doppelzählungen; keine Summe der Träger)</t>
  </si>
  <si>
    <t>IST|ögk/svs/bvaebplanstellengesamt|planstellen_oegk_svs_bvaeb</t>
  </si>
  <si>
    <t>f02287bccf3b</t>
  </si>
  <si>
    <t>- davon für inländische Gastpatient*innen (spitalsambulant)</t>
  </si>
  <si>
    <t>gastpat_spitalsambulant</t>
  </si>
  <si>
    <t>davon für inländische Gastpatient:innen, spitalsambulant (Teilmenge, Wien)</t>
  </si>
  <si>
    <t>PLAN|-davonfürinländischegastpatient*innen(spitalsambulant)|gastpat_spitalsambulant</t>
  </si>
  <si>
    <t>c1c7b2368d3d</t>
  </si>
  <si>
    <t>- davon für inländische Gastpatient*innen (extramural)</t>
  </si>
  <si>
    <t>gastpat_extramural</t>
  </si>
  <si>
    <t>davon für inländische Gastpatient:innen, extramural (Teilmenge, Wien)</t>
  </si>
  <si>
    <t>PLAN|-davonfürinländischegastpatient*innen(extramural)|gastpat_extramural</t>
  </si>
  <si>
    <t>593bbf80123d</t>
  </si>
  <si>
    <t>PLAN Sachleistungsstellen 20xx gesamt</t>
  </si>
  <si>
    <t>slst_gesamt</t>
  </si>
  <si>
    <t>Sachleistungsstellen gesamt</t>
  </si>
  <si>
    <t>PLAN|plansachleistungsstellen20xxgesamt|slst_gesamt</t>
  </si>
  <si>
    <t>4228033d1e5f</t>
  </si>
  <si>
    <t>Summe ÖGK/SVS/BVAEB Planstellen</t>
  </si>
  <si>
    <t>IST|summeögk/svs/bvaebplanstellen|planstellen_oegk_svs_bvaeb</t>
  </si>
  <si>
    <t>IST Anzahl Ambulatorien-Standorte (mit Kassenvertrag und kasseneigene) gesamt 20xx</t>
  </si>
  <si>
    <t>IST|istanzahlambulatorien-standorte(mitkassenvertragundkasseneigene)gesamt20xx|amb_standorte</t>
  </si>
  <si>
    <t>IST ÄAVE gesamt extramural</t>
  </si>
  <si>
    <t>insgesamt_als_extramural</t>
  </si>
  <si>
    <t>vorläufig: beschriftet «gesamt extramural», Werte wie insgesamt (spitalsambulant + extramural) – eine Regel «umbenennen» je Matrix ordnet sie zu (Wien VR 92: insgesamt); sonst Prüfung zeile_zuordnen</t>
  </si>
  <si>
    <t>IST|istäavegesamtextramural|insgesamt_als_extramural</t>
  </si>
  <si>
    <t>2d70bb760899</t>
  </si>
  <si>
    <t>Prüfen: Passt die Einordnung? Dass der Text vollständig und wie gedruckt dasteht, prüft auf Textseiten ein Test am PDF – ins PDF nur bei «genau: Text am Seitenbild» (Bildseite, Text nur von Hand gelesen). «Vorlage»: Text der ÖSG-Vorlage, Bedeutung in docs/DATEN.md · «Hinweis»: ändert keine Zahl und nicht, was sie bedeutet · «Teilmenge»: nennt einen davon-Wert, der nicht als Zelle übernommen wird · «betrifft Werte»: unter Verweis nachsehen, ob es dort so umgesetzt ist · «Methodenfrage»: steht in docs/offene_punkte.md. Einverstanden: bestätigt = ja. Sonst Anmerkung schreiben und leer lassen. Sortiert nach Gewicht (Spalte «Prüfen»): oben, was Werte betrifft, und Bildseiten (Text nur einmal gelesen) – genau prüfen. Darunter je Land eine Zeile mit allen Hinweisen und Teilmengen: überfliegen, ob sich eine Wertänderung darin versteckt («davon» oder «zusätzlich»?).</t>
  </si>
  <si>
    <t>Prüfen</t>
  </si>
  <si>
    <t>Text wie gedruckt</t>
  </si>
  <si>
    <t>Einordnung</t>
  </si>
  <si>
    <t>Verweis</t>
  </si>
  <si>
    <t>Anmerkung im Verzeichnis</t>
  </si>
  <si>
    <t>Vorkommen (Seite, Zeichen)</t>
  </si>
  <si>
    <t>genau: Verweis nachsehen</t>
  </si>
  <si>
    <t>spitalsambulant=ZAE: Plan 2030 in ÄAVE (extramural = sonstige/interdisziplinäre Angebote)</t>
  </si>
  <si>
    <t>betrifft Werte</t>
  </si>
  <si>
    <t>METHODIK.md R5</t>
  </si>
  <si>
    <t>SON/IDB spitalsambulant = ZAE: in den Kennzahlen zu AM gezählt · Bildseite: vom Seitenbild abgeschrieben · SON/IDB spitalsambulant = ZAE: in den Kennzahlen zu AM gezählt</t>
  </si>
  <si>
    <t>Kärnten BL S.97 (4); Kärnten VR 21 S.99 (4); Kärnten VR 22 S.102 (4)</t>
  </si>
  <si>
    <t>spitalsambulant=zae:plan2030inäave(extramural=sonstige/interdisziplinäreangebote)|Kärnten</t>
  </si>
  <si>
    <t>a6f4c042fae2</t>
  </si>
  <si>
    <t>ÄAVE werden gemäß ÖSG Verordnung ab 2023 unter SON/IDB ausgewiesen</t>
  </si>
  <si>
    <t>AM spitalsambulant steht ab 2023 in SON/IDB (ZAE): in den Kennzahlen zu AM gezählt</t>
  </si>
  <si>
    <t>OÖ BL S.10 *AM spitalsambulant; OÖ VR 41 S.12 *AM spitalsambulant; OÖ VR 42 S.15 *AM spitalsambulant; OÖ VR 43 S.18 *AM spitalsambulant; OÖ VR 44 S.21 *AM spitalsambulant; OÖ VR 45 S.24 *AM spitalsambulant; OÖ VR 46 S.27 *AM spitalsambulant</t>
  </si>
  <si>
    <t>äavewerdengemäßösgverordnungab2023unterson/idbausgewiesen|OÖ</t>
  </si>
  <si>
    <t>4f2c851a9473</t>
  </si>
  <si>
    <t>exkl.: zahnärztliches Notdienstzentrum Linz und eine Vorgriffstelle in Steyr; zusätzlich KFO: IST 2022 und Plan 2030: 38,2 ÄAVE bzw. 32 vertragskieferorthopädische Planstellen SV; Im Gesamtvertrag der SVS mit der Zahnärztekammer ist derzeit kein Stellenplan vereinbart. Jede/r zur selbständigen Berufsausübung berechtigte/r Zahnärztin bzw. Zahnarzt kann mittels Verpflichtungserklärung eine Direktverrechnung mit der SVS durchführen.</t>
  </si>
  <si>
    <t>korrekturen.csv, Art «Fußnote» (KFO); METHODIK.md R4 «ZMK und KFO je Land»</t>
  </si>
  <si>
    <t>KFO-ÄAVE aus der Fußnote in ZMK übernommen; Planstellen nicht; «exkl.» Notdienstzentrum Linz und Vorgriffstelle Steyr nicht beziffert, nicht ergänzt (METHODIK R4)</t>
  </si>
  <si>
    <t>OÖ BL S.10 *ZMK</t>
  </si>
  <si>
    <t>exkl.:zahnärztlichesnotdienstzentrumlinzundeinevorgriffstelleinsteyr;zusätzlichkfo:ist2022undplan2030:38,2äavebzw.32vertragskieferorthopädischeplanstellensv;imgesamtvertragdersvsmitderzahnärztekammeristderzeitkeinstellenplanvereinbart.jede/rzurselbstständigenberufsausübungberechtigte/rzahnärztinbzw.zahnarztkannmittelsverpflichtungserklärungeinedirektverrechnungmitdersvsdurchführen.|OÖ</t>
  </si>
  <si>
    <t>b27d09986b1a</t>
  </si>
  <si>
    <t>gemäß Fußnote 39, ÖSG 2023 (inkl. der bis April 2025 beschlossenen Änderungen) kommt den, für den spitalsambulanten Bereich ausgewiesenen, ÄAVE nur eine eingeschränkte Aussagekraft zu. Für die Interpretation der PRW-Intervalle wurden in der regionalen Detailplanung die Ambulanzstandorte inkl. der ambulanten Betreuungsplätze berücksichtigt. Aufgrund der eingeschränkten Aussagekraft der spitalsambulanten ÄAVE wurde von der Ausweisung eines neuen Planstandes 2030 Abstand genommen und der IST- Stand 2022 fortgeschrieben, ausgenommen in Fachrichtungen, in denen amb. Betreuungsplätze aufgebaut werden. Dort wurden die IST ÄAVE 2022 entsprechend der Demographie erhöht.</t>
  </si>
  <si>
    <t>DATEN.md, Fallstricke (OÖ spitalsambulant)</t>
  </si>
  <si>
    <t>PLAN spitalsambulant = IST 2022 fortgeschrieben, nur in Fächern mit ambulanten Betreuungsplätzen erhöht</t>
  </si>
  <si>
    <t>OÖ BL S.10 *Plan ÄAVE 2030 spitalsambulant; OÖ VR 41 S.12 *Plan ÄAVE 2030 spitalsambulant; OÖ VR 42 S.15 *Plan ÄAVE 2030 spitalsambulant; OÖ VR 43 S.18 *Plan ÄAVE 2030 spitalsambulant; OÖ VR 44 S.21 *Plan ÄAVE 2030 spitalsambulant; OÖ VR 45 S.24 *Plan ÄAVE 2030 spitalsambulant; OÖ VR 46 S.27 *Plan ÄAVE 2030 spitalsambulant</t>
  </si>
  <si>
    <t>gemäßfußnote39,ösg2023(inkl.derbisapril2025beschlossenenänderungen)kommtden,fürdenspitalsambulantenbereichausgewiesenen,äavenureineeingeschränkteaussagekraftzu.fürdieinterpretationderprw-intervallewurdeninderregionalendetailplanungdieambulanzstandorteinkl.derambulantenbetreuungsplätzeberücksichtigt.aufgrunddereingeschränktenaussagekraftderspitalsambulantenäavewurdevonderausweisungeinesneuenplanstandes2030abstandgenommenundderist-stand2022fortgeschrieben,ausgenommeninfachrichtungen,indenenamb.betreuungsplätzeaufgebautwerden.dortwurdendieistäave2022entsprechendderdemographieerhöht.|OÖ</t>
  </si>
  <si>
    <t>f7e60a7fba16</t>
  </si>
  <si>
    <t>exkl. zahnärztliches Notdienstzentrum Linz; zusätzlich KFO: IST 2022 und Plan 2030: 11,5 ÄAVE bzw. 9 vertragskieferorthopädische Planstellen SV; Im Gesamtvertrag der SVS mit der Zahnärztekammer ist derzeit kein Stellenplan vereinbart. Jeder zur selbständigen Berufsausübung berechtigter Zahnarzt kann mittels Verpflichtungserklärung eine Direktverrechnung mit der SVS durchführen.</t>
  </si>
  <si>
    <t>KFO-ÄAVE aus der Fußnote in ZMK übernommen; Planstellen nicht; «exkl.» Notdienstzentrum Linz nicht beziffert, nicht ergänzt (METHODIK R4)</t>
  </si>
  <si>
    <t>OÖ VR 41 S.12 *ZMK</t>
  </si>
  <si>
    <t>exkl.zahnärztlichesnotdienstzentrumlinz;zusätzlichkfo:ist2022undplan2030:11,5äavebzw.9vertragskieferorthopädischeplanstellensv;imgesamtvertragdersvsmitderzahnärztekammeristderzeitkeinstellenplanvereinbart.jederzurselbstständigenberufsausübungberechtigterzahnarztkannmittelsverpflichtungserklärungeinedirektverrechnungmitdersvsdurchführen.|OÖ</t>
  </si>
  <si>
    <t>64ac8c28d8c7</t>
  </si>
  <si>
    <t>zusätzlich KFO: IST 2022 und Plan 2030: 3,3 ÄAVE bzw. 5 vertragskieferorthopädische Planstellen SV; Im Gesamtvertrag der SVS mit der Zahnärztekammer ist derzeit kein Stellenplan vereinbart. Jeder zur selbständigen Berufsausübung berechtigter Zahnarzt kann mittels Verpflichtungserklärung eine Direktverrechnung mit der SVS durchführen.</t>
  </si>
  <si>
    <t>KFO-ÄAVE aus der Fußnote in ZMK übernommen; Planstellen nicht</t>
  </si>
  <si>
    <t>OÖ VR 42 S.15 *ZMK</t>
  </si>
  <si>
    <t>zusätzlichkfo:ist2022undplan2030:3,3äavebzw.5vertragskieferorthopädischeplanstellensv;imgesamtvertragdersvsmitderzahnärztekammeristderzeitkeinstellenplanvereinbart.jederzurselbstständigenberufsausübungberechtigterzahnarztkannmittelsverpflichtungserklärungeinedirektverrechnungmitdersvsdurchführen.|OÖ</t>
  </si>
  <si>
    <t>a2ba163ba093</t>
  </si>
  <si>
    <t>zusätzlich KFO: IST 2022 und Plan 2030: 5,9 ÄAVE bzw. 5 vertragskieferorthopädische Planstellen SV; Im Gesamtvertrag der SVS mit der Zahnärztekammer ist derzeit kein Stellenplan vereinbart. Jeder zur selbständigen Berufsausübung berechtigter Zahnarzt kann mittels Verpflichtungserklärung eine Direktverrechnung mit der SVS durchführen.</t>
  </si>
  <si>
    <t>OÖ VR 43 S.18 *ZMK</t>
  </si>
  <si>
    <t>zusätzlichkfo:ist2022undplan2030:5,9äavebzw.5vertragskieferorthopädischeplanstellensv;imgesamtvertragdersvsmitderzahnärztekammeristderzeitkeinstellenplanvereinbart.jederzurselbstständigenberufsausübungberechtigterzahnarztkannmittelsverpflichtungserklärungeinedirektverrechnungmitdersvsdurchführen.|OÖ</t>
  </si>
  <si>
    <t>33f38f6ba3b1</t>
  </si>
  <si>
    <t>exkl. einer Vorgriffstelle in Steyr; zusätzlich KFO: IST 2022 und Plan 2030: 5,8 ÄAVE bzw. 3 vertragskieferorthopädische Planstellen SV; Im Gesamtvertrag der SVS mit der Zahnärztekammer ist derzeit kein Stellenplan vereinbart. Jeder zur selbständigen Berufsausübung berechtigter Zahnarzt kann mittels Verpflichtungserklärung eine Direktverrechnung mit der SVS durchführen.</t>
  </si>
  <si>
    <t>KFO-ÄAVE aus der Fußnote in ZMK übernommen; Planstellen nicht; «exkl.» Vorgriffstelle Steyr nicht beziffert, nicht ergänzt (METHODIK R4)</t>
  </si>
  <si>
    <t>OÖ VR 44 S.21 *ZMK</t>
  </si>
  <si>
    <t>exkl.einervorgriffstelleinsteyr;zusätzlichkfo:ist2022undplan2030:5,8äavebzw.3vertragskieferorthopädischeplanstellensv;imgesamtvertragdersvsmitderzahnärztekammeristderzeitkeinstellenplanvereinbart.jederzurselbstständigenberufsausübungberechtigterzahnarztkannmittelsverpflichtungserklärungeinedirektverrechnungmitdersvsdurchführen.|OÖ</t>
  </si>
  <si>
    <t>72d544dee4bd</t>
  </si>
  <si>
    <t>zusätzlich KFO: IST 2022 und Plan 2030: 7,6 ÄAVE bzw. 5 vertragskieferorthopädische Planstellen SV; Im Gesamtvertrag der SVS mit der Zahnärztekammer ist derzeit kein Stellenplan vereinbart. Jeder zur selbständigen Berufsausübung berechtigter Zahnarzt kann mittels Verpflichtungserklärung eine Direktverrechnung mit der SVS durchführen.</t>
  </si>
  <si>
    <t>OÖ VR 45 S.24 *ZMK</t>
  </si>
  <si>
    <t>zusätzlichkfo:ist2022undplan2030:7,6äavebzw.5vertragskieferorthopädischeplanstellensv;imgesamtvertragdersvsmitderzahnärztekammeristderzeitkeinstellenplanvereinbart.jederzurselbstständigenberufsausübungberechtigterzahnarztkannmittelsverpflichtungserklärungeinedirektverrechnungmitdersvsdurchführen.|OÖ</t>
  </si>
  <si>
    <t>9a3648b6c184</t>
  </si>
  <si>
    <t>zusätzlich KFO: IST 2022 und Plan 2030: 4,2 ÄAVE bzw. 5 vertragskieferorthopädische Planstellen SV; Im Gesamtvertrag der SVS mit der Zahnärztekammer ist derzeit kein Stellenplan vereinbart. Jeder zur selbständigen Berufsausübung berechtigter Zahnarzt kann mittels Verpflichtungserklärung eine Direktverrechnung mit der SVS durchführen.</t>
  </si>
  <si>
    <t>OÖ VR 46 S.27 *ZMK</t>
  </si>
  <si>
    <t>zusätzlichkfo:ist2022undplan2030:4,2äavebzw.5vertragskieferorthopädischeplanstellensv;imgesamtvertragdersvsmitderzahnärztekammeristderzeitkeinstellenplanvereinbart.jederzurselbstständigenberufsausübungberechtigterzahnarztkannmittelsverpflichtungserklärungeinedirektverrechnungmitdersvsdurchführen.|OÖ</t>
  </si>
  <si>
    <t>4a1c88d56e21</t>
  </si>
  <si>
    <t>Salzburg, Tirol</t>
  </si>
  <si>
    <t>spitalsambulant = ZAE</t>
  </si>
  <si>
    <t>SON/IDB spitalsambulant = ZAE: in den Kennzahlen zu AM gezählt</t>
  </si>
  <si>
    <t>Salzburg BL S.1 (7); Salzburg VR 51 S.3 (7); Salzburg VR 52 S.6 (6); Tirol VR 74 S.9 (7)</t>
  </si>
  <si>
    <t>spitalsambulant=zae|Salzburg, Tirol</t>
  </si>
  <si>
    <t>b9694da4303b</t>
  </si>
  <si>
    <t>spitalsambulant = ZAE, davon 4,8 VZÄ in der AM, 1 VZÄ in der KIJU und 2,25 VZÄ in der ORTR durch L-ZK als zusätzliche SLS der SV anrechenbar</t>
  </si>
  <si>
    <t>Methodenfrage</t>
  </si>
  <si>
    <t>offene_punkte.md «Unklare Angaben in den Verordnungen»; METHODIK.md R5</t>
  </si>
  <si>
    <t>SON/IDB spitalsambulant = ZAE: in den Kennzahlen zu AM gezählt; die VZÄ je Fach betreffen die Anrechnung als SLS, keine Aufteilung der ZAE-ÄAVE (METHODIK R5)</t>
  </si>
  <si>
    <t>Tirol BL S.1 (7)</t>
  </si>
  <si>
    <t>spitalsambulant=zae,davon4,8vzäinderam,1vzäinderkijuund2,25vzäinderortrdurchl-zkalszusätzlicheslsdersvanrechenbar|Tirol</t>
  </si>
  <si>
    <t>e8bbafd805c3</t>
  </si>
  <si>
    <t>spitalsambulant = ZAE, davon 2,8 VZÄ in der AM, 1 VZÄ in der KIJU und 2,25 VZÄ in der ORTR durch L-ZK als zusätzliche SLS der SV</t>
  </si>
  <si>
    <t>Tirol VR 71 S.3 (7)</t>
  </si>
  <si>
    <t>spitalsambulant=zae,davon2,8vzäinderam,1vzäinderkijuund2,25vzäinderortrdurchl-zkalszusätzlicheslsdersv|Tirol</t>
  </si>
  <si>
    <t>a3ba663e9fe9</t>
  </si>
  <si>
    <t>spitalsambulant = ZAE, davon 1 VZÄ in der AM über L-ZK als SLS der SV anrechenbar</t>
  </si>
  <si>
    <t>Tirol VR 72 S.5 (7)</t>
  </si>
  <si>
    <t>spitalsambulant=zae,davon1vzäinderamüberl-zkalsslsdersvanrechenbar|Tirol</t>
  </si>
  <si>
    <t>786ce4bedddb</t>
  </si>
  <si>
    <t>spitalsambulant = ZAE, davon 1 VZÄ in der AM über L-ZK als SLS der SV verankert.</t>
  </si>
  <si>
    <t>Tirol VR 73 S.7 (7)</t>
  </si>
  <si>
    <t>spitalsambulant=zae,davon1vzäinderamüberl-zkalsslsdersvverankert.|Tirol</t>
  </si>
  <si>
    <t>479d6bbeb995</t>
  </si>
  <si>
    <t>spitalsambulant = ZAE (ca. 130 VZÄ im SOLL aus den verschiedenen Fächern (AM, IM)), extramural = sonstige/interdisziplinäre Angebote</t>
  </si>
  <si>
    <t>ZAE in den Fachspalten enthalten, vor allem IM (RSG-Monitoring der GÖG, METHODIK.md R5)</t>
  </si>
  <si>
    <t>Wien BL S.33 (4)</t>
  </si>
  <si>
    <t>spitalsambulant=zae(ca.130vzäimsollausdenverschiedenenfächern(am,im)),extramural=sonstige/interdisziplinäreangebote|Wien</t>
  </si>
  <si>
    <t>5fdb5b4dc5da</t>
  </si>
  <si>
    <t>ZMK einschließlich 54 SLS KFO; ZMK: Zahn-, Mund- und Kieferheilkunde + Zahnbehandler + Dentisten</t>
  </si>
  <si>
    <t>METHODIK.md R4 «ZMK und KFO je Land»</t>
  </si>
  <si>
    <t>KFO ist in ZMK enthalten, keine eigene Spalte</t>
  </si>
  <si>
    <t>Wien BL S.33 (5)</t>
  </si>
  <si>
    <t>zmkeinschließlich54slskfo;zmk:zahn-,mund-undkieferheilkunde+zahnbehandler+dentisten|Wien</t>
  </si>
  <si>
    <t>ae47dde26a49</t>
  </si>
  <si>
    <t>Planstellen gesamt IST 2022: ohne Bereinigung von Doppelzählungen</t>
  </si>
  <si>
    <t>DATEN.md, Zeile planstellen_oegk_svs_bvaeb</t>
  </si>
  <si>
    <t>Summe der Träger ohne Bereinigung von Doppelzählungen – nicht addieren</t>
  </si>
  <si>
    <t>Wien BL S.33 (14); Wien VR 91 S.34 (14); Wien VR 92 S.35 (13); Wien VR 93 S.36 (14)</t>
  </si>
  <si>
    <t>planstellengesamtist2022:ohnebereinigungvondoppelzählungen|Wien</t>
  </si>
  <si>
    <t>07900a988fa7</t>
  </si>
  <si>
    <t>spitalsambulant = ZAE (ca. 36 VZÄ im SOLL aus den verschiedenen Fächern (AM, IM)), extramural = sonstige/interdisziplinäre Angebote</t>
  </si>
  <si>
    <t>Wien VR 91 S.34 (4)</t>
  </si>
  <si>
    <t>spitalsambulant=zae(ca.36vzäimsollausdenverschiedenenfächern(am,im)),extramural=sonstige/interdisziplinäreangebote|Wien</t>
  </si>
  <si>
    <t>fa13c76279f1</t>
  </si>
  <si>
    <t>ZMK einschließlich 35 SLS KFO; ZMK: Zahn-, Mund- und Kieferheilkunde + Zahnbehandler + Dentisten</t>
  </si>
  <si>
    <t>Wien VR 91 S.34 (5)</t>
  </si>
  <si>
    <t>zmkeinschließlich35slskfo;zmk:zahn-,mund-undkieferheilkunde+zahnbehandler+dentisten|Wien</t>
  </si>
  <si>
    <t>89b3d1166cd4</t>
  </si>
  <si>
    <t>spitalsambulant = ZAE (ca. 45 VZÄ im SOLL aus den verschiedenen Fächern (AM, IM)), extramural = sonstige/interdisziplinäre Angebote</t>
  </si>
  <si>
    <t>Wien VR 92 S.35 (4)</t>
  </si>
  <si>
    <t>spitalsambulant=zae(ca.45vzäimsollausdenverschiedenenfächern(am,im)),extramural=sonstige/interdisziplinäreangebote|Wien</t>
  </si>
  <si>
    <t>0c740fa12fae</t>
  </si>
  <si>
    <t>ZMK einschließlich 12 SLS KFO; ZMK: Zahn-, Mund- und Kieferheilkunde + Zahnbehandler + Dentisten</t>
  </si>
  <si>
    <t>Wien VR 92 S.35 (5)</t>
  </si>
  <si>
    <t>zmkeinschließlich12slskfo;zmk:zahn-,mund-undkieferheilkunde+zahnbehandler+dentisten|Wien</t>
  </si>
  <si>
    <t>ab27af8f803d</t>
  </si>
  <si>
    <t>spitalsambulant = ZAE (ca. 49 VZÄ im SOLL aus den verschiedenen Fächern (AM, IM)), extramural = sonstige/interdisziplinäre Angebote</t>
  </si>
  <si>
    <t>Wien VR 93 S.36 (4)</t>
  </si>
  <si>
    <t>spitalsambulant=zae(ca.49vzäimsollausdenverschiedenenfächern(am,im)),extramural=sonstige/interdisziplinäreangebote|Wien</t>
  </si>
  <si>
    <t>69de820cede0</t>
  </si>
  <si>
    <t>ZMK einschließlich 7 SLS KFO; ZMK: Zahn-, Mund- und Kieferheilkunde + Zahnbehandler + Dentisten</t>
  </si>
  <si>
    <t>Wien VR 93 S.36 (5)</t>
  </si>
  <si>
    <t>zmkeinschließlich7slskfo;zmk:zahn-,mund-undkieferheilkunde+zahnbehandler+dentisten|Wien</t>
  </si>
  <si>
    <t>bdffde45e8fb</t>
  </si>
  <si>
    <t>genau: Text am Seitenbild</t>
  </si>
  <si>
    <t>in Regiomed nicht berücksichtigt</t>
  </si>
  <si>
    <t>Vorlage</t>
  </si>
  <si>
    <t>Bildseite: vom Seitenbild abgeschrieben</t>
  </si>
  <si>
    <t>Burgenland BL S.1 (1); Kärnten VR 21 S.99 (1)</t>
  </si>
  <si>
    <t>betrifft NCH</t>
  </si>
  <si>
    <t>inregiomednichtberücksichtigt|Burgenland, Kärnten</t>
  </si>
  <si>
    <t>dc7e9e11bcf6</t>
  </si>
  <si>
    <t>zugeordnet zu CH</t>
  </si>
  <si>
    <t>Burgenland BL S.1 (2); Kärnten VR 21 S.99 (2)</t>
  </si>
  <si>
    <t>betrifft KJC</t>
  </si>
  <si>
    <t>zugeordnetzuch|Burgenland, Kärnten</t>
  </si>
  <si>
    <t>a4fb8193b57b</t>
  </si>
  <si>
    <t>davon in Akut-Ordinationen EVA: ÄAVE IST 2022, SOLL 2030/ Planstellen IST 2022, PLAN 2030</t>
  </si>
  <si>
    <t>Bildseite: vom Seitenbild abgeschrieben · Platzhalter nicht mit Werten gefüllt</t>
  </si>
  <si>
    <t>Burgenland BL S.1 (4)</t>
  </si>
  <si>
    <t>betrifft AM</t>
  </si>
  <si>
    <t>davoninakut-ordinationeneva:äaveist2022,soll2030/planstellenist2022,plan2030|Burgenland</t>
  </si>
  <si>
    <t>dac2e7880ee6</t>
  </si>
  <si>
    <t>extramural = sonstige/interdisziplinäre Angebote / spitalsambulant=ZAE; ggf. (zzgl) EVA:ÄAVE IST 2022, PLAN 2030</t>
  </si>
  <si>
    <t>Bildseite: vom Seitenbild abgeschrieben · Platzhalter nicht mit Werten gefüllt; ZAE in SON/IDB: METHODIK.md R5</t>
  </si>
  <si>
    <t>Burgenland BL S.1 (5)</t>
  </si>
  <si>
    <t>extramural=sonstige/interdisziplinäreangebote/spitalsambulant=zae;ggf.(zzgl)eva:äaveist2022,plan2030|Burgenland</t>
  </si>
  <si>
    <t>20473d6c4891</t>
  </si>
  <si>
    <t>Im Gesamtvertrag der SVS mit der Zahnärztekammer ist derzeit kein Stellenplan vereinbart. Jeder zur selbständigen Berufsausübung berechtigter Zahnarzt kann mittels Verpflichtungserklärung eine Direktverrechnung mit der SVS durchführen.“</t>
  </si>
  <si>
    <t>Hinweis</t>
  </si>
  <si>
    <t>Burgenland BL S.1 (6)</t>
  </si>
  <si>
    <t>imgesamtvertragdersvsmitderzahnärztekammeristderzeitkeinstellenplanvereinbart.jederzurselbstständigenberufsausübungberechtigterzahnarztkannmittelsverpflichtungserklärungeinedirektverrechnungmitdersvsdurchführen.“|Burgenland</t>
  </si>
  <si>
    <t>6a0b23855237</t>
  </si>
  <si>
    <t>Die fachärztliche Versorgung in den interdisziplinären Ambulatorien des PSD werden mit den PLAN-VZÄ (KJP = 6,625; PSY = 5,00) in den PLAN-Werten berücksichtigt.</t>
  </si>
  <si>
    <t>Teilmenge</t>
  </si>
  <si>
    <t>Burgenland BL S.1 (7)</t>
  </si>
  <si>
    <t>diefachärztlicheversorgungindeninterdisziplinärenambulatoriendespsdwerdenmitdenplan-vzä(kjp=6,625;psy=5,00)indenplan-wertenberücksichtigt.|Burgenland</t>
  </si>
  <si>
    <t>96247935e009</t>
  </si>
  <si>
    <t>Im Gesamtvertrag mit der Ärztekammer ist derzeit ein Stellenplan für vertragsärztliche Planstellen technische Fächer vereinbart, diese werden als Sachleistungsstellen ausgewiesen. Für Ambulatorien können derzeit keine Sachleistungsstellen ausgewiesen werden.</t>
  </si>
  <si>
    <t>Burgenland BL S.1 (8)</t>
  </si>
  <si>
    <t>imgesamtvertragmitderärztekammeristderzeiteinstellenplanfürvertragsärztlicheplanstellentechnischefächervereinbart,diesewerdenalssachleistungsstellenausgewiesen.fürambulatorienkönnenderzeitkeinesachleistungsstellenausgewiesenwerden.|Burgenland</t>
  </si>
  <si>
    <t>20ebfd1d05d8</t>
  </si>
  <si>
    <t>davon in Unfallchirurgie (UC) IST 2022: 1vertragsärztliche Planstellen: ÖGK, SVS, BVAEB</t>
  </si>
  <si>
    <t>Bildseite: vom Seitenbild abgeschrieben · UC ist Teil von ORTR</t>
  </si>
  <si>
    <t>Kärnten VR 21 S.99 (3)</t>
  </si>
  <si>
    <t>davoninunfallchirurgie(uc)ist2022:1vertragsärztlicheplanstellen:ögk,svs,bvaeb|Kärnten</t>
  </si>
  <si>
    <t>197b7e3f43b7</t>
  </si>
  <si>
    <t>Im Gesamtvertrag der SVS mit der Zahnärztekammer ist derzeit kein Stellenplan vereinbart. Jeder zur selbständigen Berufsausübung berechtigter Zahnarzt kann mittels Verpflichtungserklärung eine Direktverrechnung mit der SVS durchführen</t>
  </si>
  <si>
    <t>Kärnten VR 21 S.99 (5)</t>
  </si>
  <si>
    <t>imgesamtvertragdersvsmitderzahnärztekammeristderzeitkeinstellenplanvereinbart.jederzurselbstständigenberufsausübungberechtigterzahnarztkannmittelsverpflichtungserklärungeinedirektverrechnungmitdersvsdurchführen|Kärnten</t>
  </si>
  <si>
    <t>0501b63562c9</t>
  </si>
  <si>
    <t>davon 5,2 ÄAVE in PSD-Ambulatorien</t>
  </si>
  <si>
    <t>Kärnten VR 21 S.99 (6)</t>
  </si>
  <si>
    <t>davon5,2äaveinpsd-ambulatorien|Kärnten</t>
  </si>
  <si>
    <t>d107f8234312</t>
  </si>
  <si>
    <t>davon 4,53 ÄAVE in PSD-Ambulatorien</t>
  </si>
  <si>
    <t>Kärnten VR 21 S.99 (7)</t>
  </si>
  <si>
    <t>davon4,53äaveinpsd-ambulatorien|Kärnten</t>
  </si>
  <si>
    <t>b9afc1a9fb52</t>
  </si>
  <si>
    <t>davon 0,824 ÄAVE in PSD-Ambulatorien</t>
  </si>
  <si>
    <t>Kärnten VR 21 S.99 (8)</t>
  </si>
  <si>
    <t>davon0,824äaveinpsd-ambulatorien|Kärnten</t>
  </si>
  <si>
    <t>72c09be21e93</t>
  </si>
  <si>
    <t>überfliegen, je Land</t>
  </si>
  <si>
    <t>[Vorlage] davon in Akut-Ordinationen EVA: ÄAVE IST 2022, PLAN 2030/Planstellen IST 2022, PLAN 2030
[Vorlage] spitalsambulant = ZAE; ggf. (zzgl) EVA : ÄAVE IST 2022, PLAN 2030 extramural = sonstige/interdisziplinäre Angebote
[Hinweis] Im Gesamtvertrag der SVS mit der Zahnärztekammer ist derzeit kein Stellenplan vereinbart. Jeder zur selbständigen Berufsausübung berechtigter Zahnarzt kann mittels Verpflichtungserklärung eine Direktverrechnung mit der SVS durchführen.“
[Teilmenge] Die fachärztliche Versorgung in den interdisziplinären Ambulatorien des PSD wird mit den vom PSD übermittelten PLAN-VZÄ (KJP = 4,625; PSY =4) für 2030 berücksichtigt.
[Hinweis] Im Gesamtvertrag mit der Ärztekammer ist derzeit ein Stellenplan für vertragsärztliche Planstellen technische Fächer vereinbart, diese werden als Sachleistungsstellen ausgewiesen. Für Ambulatorien können derzeit keine Sachleistungsstellen ausgewiesen werden
[Teilmenge] Die fachärztliche Versorgung in den interdisziplinären Ambulatorien des PSD wird mit den vom PSD übermittelten PLAN-VZÄ (KJP =2; PSY =1) für 2030 berücksichtigt.</t>
  </si>
  <si>
    <t>Hinweis, Teilmenge, Vorlage</t>
  </si>
  <si>
    <t>6 verschiedene auf 2 Seiten</t>
  </si>
  <si>
    <t>Sammel|Burgenland</t>
  </si>
  <si>
    <t>ab0b6fec9ce5</t>
  </si>
  <si>
    <t>[Teilmenge] davon in Unfallchirurgie (UC) IST 2022: 3 vertragsärztliche Planstellen: ÖGK, SVS, BVAEB
[Hinweis] Im Gesamtvertrag der SVS mit der Zahnärztekammer ist derzeit kein Stellenplan vereinbart. Jeder zur selbständigen Berufsausübung berechtigter Zahnarzt kann mittels Verpflichtungserklärung eine Direktverrechnung mit der SVS durchführen
[Teilmenge] davon 7,6 ÄAVE in PSD-Ambulatorien
[Teilmenge] davon 10,17 ÄAVE in PSD-Ambulatorien
[Teilmenge] davon 0,824 ÄAVE in PSD-Ambulatorien
[Teilmenge] davon in Unfallchirurgie (UC) IST 2022: 2 vertragsärztliche Planstellen: ÖGK, SVS, BVAEB
[Teilmenge] davon 2,4 ÄAVE in PSD-Ambulatorien
[Teilmenge] davon 5,64 ÄAVE in PSD-Ambulatorien</t>
  </si>
  <si>
    <t>Hinweis, Teilmenge</t>
  </si>
  <si>
    <t>8 verschiedene auf 2 Seiten</t>
  </si>
  <si>
    <t>Sammel|Kärnten</t>
  </si>
  <si>
    <t>02db0c1f871a</t>
  </si>
  <si>
    <t>[Teilmenge] davon in Akut-Ordinationen EVA: ÄAVE IST 0, SOLL n.v./Planstellen IST 0, PLAN 4, Pilotversuche in den LK Baden und Amstetten
[Teilmenge] davon in Unfallchirurgie (UC) IST 2023: 1,7 ÄAVE niedergel. ÄrztInnen, 40,4 ÄAVE spitalsambulant und 2,2 ÄAVE WÄ / 2 vertragsärztliche Planstellen: ÖGK, SVS; 3 vertragsärztliche Planstellen: BVAEB
[Hinweis] Aufteilung des Fachgebietes 11 Neurologie und Psychiatrie lt. Fächertrennung
[Hinweis] Im Gesamtvertrag der SVS mit der Zahnärztekammer ist derzeit kein Stellenplan vereinbart. Jeder zur selbständigen Berufsausübung berechtigter Zahnarzt kann mittels Verpflichtungserklärung eine Direktverrechnung mit der SVS durchführen.
[Teilmenge] spitalsambulant = ZAE; ggf. (zzgl) EVA : ÄAVE IST 0, PLAN n.v. extramural = sonstige/interdisziplinäre Angebote
[Teilmenge] davon in Akut-Ordinationen EVA: ÄAVE IST 0, PLAN 0/Planstellen IST 0, PLAN 0
[Teilmenge] davon in Unfallchirurgie (UC) IST 2023: 1,1 ÄAVE niedergel. ÄrztInnen, 4,7 ÄAVE spitalsambulant und 0,4 ÄAVE WÄ / 1 vertragsärztliche Planstelle: ÖGK, SVS, BVAEB
[Teilmenge] spitalsambulant = ZAE; ggf. (zzgl) EVA : ÄAVE IST 0, PLAN 0 extramural = sonstige/interdisziplinäre Angebote
[Teilmenge] davon in Unfallchirurgie (UC) IST 2023: 0 ÄAVE niedergel. ÄrztInnen, 7,3 ÄAVE spitalsambulant und 0,3 ÄAVE WÄ / 0 vertragsärztliche Planstellen: ÖGK, SVS; 1 vertragsärztliche Planstelle: BVAEB
[Teilmenge] spitalsambulant = ZAE; ggf. (zzgl) EVA : ÄAVE IST 0, PLAN x0 extramural = sonstige/interdisziplinäre Angebote
[Teilmenge] davon in Unfallchirurgie (UC) IST 2023: 0 ÄAVE niedergel. ÄrztInnen, 13,5 ÄAVE spitalsambulant und 0,5 ÄAVE WÄ / 0 vertragsärztliche Planstellen: ÖGK, SVS, BVAEB
[Teilmenge] davon in Akut-Ordinationen EVA: ÄAVE IST 0, PLAN n.v./Planstellen IST 0, PLAN 2, Pilotversuch im LK Baden
[Teilmenge] davon in Unfallchirurgie (UC) IST 2023: 0,6 ÄAVE niedergel. ÄrztInnen, 14,8 ÄAVE spitalsambulant und 0,8 ÄAVE WÄ / 1 vertragsärztliche Planstelle: ÖGK, SVS, BVAEB
[Teilmenge] davon in Akut-Ordinationen EVA: ÄAVE IST 0, PLAN n.v./Planstellen IST 0, PLAN 2, Pilotversuch im LK Amstetten
[Teilmenge] davon in Unfallchirurgie (UC) IST 2023: 0 ÄAVE niedergel. ÄrztInnen, 0 ÄAVE spitalsambulant und 0,2 ÄAVE WÄ / 0 vertragsärztliche Planstellen: ÖGK, SVS, BVAEB</t>
  </si>
  <si>
    <t>15 verschiedene auf 6 Seiten</t>
  </si>
  <si>
    <t>Sammel|NÖ</t>
  </si>
  <si>
    <t>db6a025aa27c</t>
  </si>
  <si>
    <t>[Hinweis] Kapazitäten auch in IM realisierbar
[Hinweis] inkl. Unfallkrankenhaus Linz
[Hinweis] Summe aller im Rahmen des Stellenplans mit der ÄK/ZÄK vereinbarten Planstellen per 1.10.2022. Diese setzen sich zusammen aus den zum Stichtag besetzten und unbesetzten Planstellen, die entweder am selben Ort oder einem anderen Ort wieder besetzt werden sollen.
[Hinweis] Summe aller im Rahmen des Stellenplans mit der ÄK/ZÄK vereinbarten Planstellen per 1.10.2022. Diese setzen sich zusammen aus den zum Stichtag besetzten und unbesetzten Planstellen, die entweder am selben Ort oder einem anderen Ort wieder besetzt</t>
  </si>
  <si>
    <t>4 verschiedene auf 7 Seiten</t>
  </si>
  <si>
    <t>Sammel|OÖ</t>
  </si>
  <si>
    <t>5259cdfba536</t>
  </si>
  <si>
    <t>[Teilmenge] davon 2 ÄAVE psychosoziales Ambulatorium (A50137)
[Teilmenge] davon vertragsärztliche Planstellen in Unfallchirurgie (UC): 1 Stelle SVS und 2 Stellen BVAEB im IST 2023; 1 Stelle SVS und 2 Stellen BVAEB im PLAN 2023
[Hinweis] Im Gesamtvertrag der SVS mit der Zahnärztekammer ist derzeit kein Stellenplan vereinbart. Jeder zur selbständigen Berufsausübung berechtigter Zahnarzt kann mittels Verpflichtungserklärung eine Direktverrechnung mit der SVS durchführen.
[Hinweis] Im Gesamtvertrag mit der Ärztekammer ist derzeit ein Stellenplan für vertragsärztliche Planstellen technische Fächer vereinbart, diese werden als Sachleistungsstellen ausgewiesen. Für Ambulatorien können derzeit keine Sachleistungsstellen ausgewiesen werden.
[Teilmenge] davon vertragsärztliche Planstellen in Unfallchirurgie (UC): 1 Stelle SVS im IST 2023; 1 Stelle SVS im PLAN 2023</t>
  </si>
  <si>
    <t>5 verschiedene auf 3 Seiten</t>
  </si>
  <si>
    <t>Sammel|Salzburg</t>
  </si>
  <si>
    <t>de3c38c6c252</t>
  </si>
  <si>
    <t>[Vorlage] davon in Unfallchirurgie (UC) IST 2022: x ÄAVE (ggf. SVE) / x vertragsärztliche Planstellen: ÖGK, SVS, BVAEB
[Teilmenge] davon geplante ärztliche VZÄ (KJP = 4,00; PSY = 15,50) für die sozialpsychiatrischen Ambulatorien im Rahmen der psychosozialen Beratungsstellen
[Hinweis] Im Gesamtvertrag der SVS mit der Zahnärztekammer ist derzeit kein Stellenplan vereinbart. Jeder zur selbständigen Berufsausübung berechtigte Zahnarzt kann mittels Verpflichtungserklärung eine Direktverrechnung mit der SVS durchführen.
[Hinweis] CH ÖGK Abbau auf 0, dzt. jedoch noch Planstelleninhaber
[Hinweis] IM 1 Standort inkl. Rheumatologie und Gastroenterologie/Endoskopie
[Hinweis] AM nicht berücksichtigt, weil reine VU
[Teilmenge] davon geplante ärztliche VZÄ (KJP = 1,00; PSY = 7,00) für die sozialpsychiatrischen Ambulatorien im Rahmen der psychosozialen Beratungsstellen
[Teilmenge] davon geplante ärztliche VZÄ (KJP = 0,50; PSY = 1,50) für die sozialpsychiatrischen Ambulatorien im Rahmen der psychosozialen Beratungsstellen
[Teilmenge] davon geplante ärztliche VZÄ (KJP = 1,00; PSY = 2,50) für die sozialpsychiatrischen Ambulatorien im Rahmen der psychosozialen Beratungsstellen
[Teilmenge] davon geplante ärztliche VZÄ (KJP = 0,50; PSY = 2,00) für die sozialpsychiatrischen Ambulatorien im Rahmen der psychosozialen Beratungsstellen
[Teilmenge] davon geplante ärztliche VZÄ (KJP = 0,50; PSY = 1,00) für die sozialpsychiatrischen Ambulatorien im Rahmen der psychosozialen Beratungsstellen</t>
  </si>
  <si>
    <t>11 verschiedene auf 7 Seiten</t>
  </si>
  <si>
    <t>Sammel|Steiermark</t>
  </si>
  <si>
    <t>2b1444ddee8d</t>
  </si>
  <si>
    <t>[Hinweis] die Planstellen sind nicht über den Tiroler Gesamtvertrag geregelt, es handelt sich um Sonderverträge
[Teilmenge] davon in Unfallchirurgie (UC) IST 2023: 11,8 ÄAVE / 4 vertragsärztliche Planstellen: ÖGK, SVS, BVAEB
[Hinweis] Im Gesamtvertrag der SVS mit der Zahnärztekammer ist derzeit kein Stellenplan vereinbart. Jeder zur selbständigen Berufsausübung berechtigter Zahnarzt kann mittels Verpflichtungserklärung eine Direktverrechnung mit der SVS durchführen
[Hinweis] Im Gesamtvertrag mit der Ärztekammer ist derzeit ein Stellenplan für vertragsärztliche Planstellen technische Fächer vereinbart, diese werden als Sachleistungsstellen ausgewiesen. Für Ambulatorien können derzeit keine Sachleistungsstellen ausgewiesen werden.
[Hinweis] Sachleistungsstellen sollen die Versorgung im niedergelassenen Bereich sowie in selbständigen Ambulatorien (inklusive Eigene Einrichtungen der Sozialversicherungsträger) abbilden.
[Teilmenge] davon in Unfallchirurgie (UC) IST 2023: 1,3 ÄAVE / 1 vertragsärztliche Planstelle: ÖGK, SVS, BVAEB
[Teilmenge] davon in Unfallchirurgie (UC) IST 2023: 5,2 ÄAVE / 1 vertragsärztliche Planstelle: ÖGK, SVS, BVAEB
[Teilmenge] davon in Unfallchirurgie (UC) IST 2023: 0,9 ÄAVE / 2 vertragsärztliche Planstelle: ÖGK, SVS, BVAEB
[Teilmenge] davon in Unfallchirurgie (UC) IST 2023: 4,3 ÄAVE / keine vertragsärztliche Planstelle: ÖGK, SVS, BVAEB</t>
  </si>
  <si>
    <t>9 verschiedene auf 5 Seiten</t>
  </si>
  <si>
    <t>Sammel|Tirol</t>
  </si>
  <si>
    <t>91b54594e01b</t>
  </si>
  <si>
    <t>Vorarlberg</t>
  </si>
  <si>
    <t>[Vorlage] davon in Akut-Ordinationen EVA: ÄAVE IST x, SOLL x/Planstellen IST x, PLAN x
[Vorlage] davon in Unfallchirurgie (UC) IST 20xx: x ÄAVE / x vertragsärztliche Planstellen: ÖGK, SVS, BVAEB</t>
  </si>
  <si>
    <t>2 verschiedene auf 3 Seiten</t>
  </si>
  <si>
    <t>Sammel|Vorarlberg</t>
  </si>
  <si>
    <t>7cb7e3687712</t>
  </si>
  <si>
    <t>[Vorlage] in Regiomed nicht berücksichtigt, zugeordnet zu CH
[Teilmenge] davon in Unfallchirurgie (UC) IST 2022: 66 ÄAVE
[Teilmenge] davon in EVA: ÄAVE IST 0, SOLL 30,6
[Hinweis] Je VR ist eine ZMK Versorgung von Menschen mit Behinderung, Kindern mit hohem Betreuungsaufwand, AngstpatientInnen, infektiösen PatientInnen oder WachkomapatientInnen für zahnmedizinische sowie mund-, kiefer- und gesichtschirurgische Eingriffe unter Sedoanalgesie bzw. Narkose vorgesehen.
[Hinweis] Je Versorgungsregion wird es zwei Standorte mit einem stationären, psychiatrischen Versorgungsangebot für die Regionalversorgung und pro Krankenhaus mindestens ein zugehöriges Ambulatorium mit ambulanten und tagesklinischen Angeboten für Erwachsene geben. Im Bereich der Kinder und Jugendpsychiatrie sind vier Standorte (AKH, KFL, KFN, KHI) mit einem stationären, psychiatrischen Versorgungsangebot und vier zugehörige Krankenanstalten-Ambulatorien mit ambulanten und tagesklinischen Angeboten geplant. Einzelne Institute sind auf die Behandlung bestimmter Erkrankungen und Problemlagen spezialisiert (z.B. Suchterkrankungen, Krisenbehandlung). Hier enthalten ist auch das Home Treatment. Die suchtspezifischen PLAN-ÄAVE sind unter PSY enthalten, die Behandlung erfolgt sowohl ambulant als auch stationär multiprofessionell im Bereich der überregionalen spezialisierten Suchtkrankenhilfe. Patient*innen werden den Einrichtungen bedarfsgerecht zugewiesen.
[Teilmenge] davon 32 SLS in KJP-PSD-Ambulatorien
[Hinweis] Die psychosozialen Zentren sind bei den Sachleistungsstellen nicht abgebildet, diese werden im Rahmen der Aktualisierung 2026 neu festgelegt.
[Hinweis] Im Gesamtvertrag mit der Ärztekammer ist derzeit ein Stellenplan für vertragsärztliche Planstellen für Technische Fächer vereinbart, diese werden im RSG als Sachleistungsstellen ausgewiesen. Die Plan-Sachleistungsstellen dieser Fächer gelten nur bis 31.12.2026 und sind im Rahmen der nächsten Aktualisierung gemeinsam zu planen. Für Ambulatorien können derzeit keine Sachleistungsstellen für Technische Fächer ausgewiesen werden.
[Hinweis] Im Bereich der Strahlentherapie (STR) wurde (aufgrund der fehlenden Abbildung im Regiomed) basierend auf den im RSG 2025 festgelegten ÄAVE eine demografische Hochrechnung erstellt, die in weiterer Folge übernommen wird.
[Hinweis] Im Gesamtvertrag der SVS mit der Zahnärztekammer ist derzeit kein Stellenplan vereinbart. Jede/r zur selbständigen Berufsausübung berechtigte/r Zahnärztin bzw. Zahnarzt kann mittels Verpflichtungserklärung eine Direktverrechnung mit der SVS durchführen.
[Hinweis] Die Kapazitäten für ein multimodales Schmerzzentrum erfordern einen interdiziplinären Fächermix. Zur Umsetzung eines interdisziplinären Schmerzzentrums inkl. 1 ÄAVE Anästhesiologie.
[Teilmenge] davon in EVA: ÄAVE IST 0, SOLL 14
[Teilmenge] davon 19 SLS in KJP-PSD-Ambulatorien
[Hinweis] Die Kapazitäten für ein multimodales Schmerzzentrum erfordern einen interdiziplinären Fächermix.
[Teilmenge] davon in EVA: ÄAVE IST 0, SOLL 8
[Teilmenge] davon 7 SLS in KJP-PSD-Ambulatorien
[Teilmenge] davon in EVA: ÄAVE IST 0, SOLL 9</t>
  </si>
  <si>
    <t>17 verschiedene auf 4 Seiten</t>
  </si>
  <si>
    <t>Sammel|Wien</t>
  </si>
  <si>
    <t>b43df2f8d507</t>
  </si>
  <si>
    <t>Prüfen: Am PDF nachsehen, nicht nur die Begründung lesen: Stimmen die genannten Seiten und Zahlen, und folgt die Regel daraus? «PDF», «Seite», «Zeile im PDF» und «Werte» zeigen, welche Zellen die Regel ändert und wie («(leer) → 260»: im PDF leer, im Datensatz 260); bei vielen Zellen die Zahl und Beispiele. Einverstanden: bestätigt = ja. Sonst Anmerkung schreiben und leer lassen.</t>
  </si>
  <si>
    <t>Art</t>
  </si>
  <si>
    <t>Zeile im PDF</t>
  </si>
  <si>
    <t>Regel</t>
  </si>
  <si>
    <t>Werte (vorher → nachher; bei bekannten Abweichungen: Wert im Datensatz)</t>
  </si>
  <si>
    <t>Begründung</t>
  </si>
  <si>
    <t>Korrektur (Beschriftung)</t>
  </si>
  <si>
    <t>Wien · VR 92 · haupt · IST</t>
  </si>
  <si>
    <t>ÄAVE insgesamt [Zeile nicht im PDF]</t>
  </si>
  <si>
    <t>*</t>
  </si>
  <si>
    <t>umbenennen:insgesamt_als_extramural</t>
  </si>
  <si>
    <t>28 Zellen, z. B.
VR 92 AM: (leer) → 260
VR 92 AN: (leer) → 0
VR 92 KIJU: (leer) → 52</t>
  </si>
  <si>
    <t>PDF S.35 (VR 92): Summenzeile heißt «IST ÄAVE gesamt extramural» statt «IST ÄAVE insgesamt»; Werte schließen exakt die Lücke BL − VR91 − VR93 (gesamt 1.190)</t>
  </si>
  <si>
    <t>K|Wien|VR|92|haupt|IST|insgesamt|*|umbenennen:insgesamt_als_extramural</t>
  </si>
  <si>
    <t>73c10368d48d</t>
  </si>
  <si>
    <t>Korrektur (Lücke)</t>
  </si>
  <si>
    <t>Wien · * * · haupt · PLAN</t>
  </si>
  <si>
    <t>33, 34, 35, 36</t>
  </si>
  <si>
    <t>summe:spitalsambulant+extramural</t>
  </si>
  <si>
    <t>107 Zellen, z. B.
BL AM: (leer) → 869
BL AN: (leer) → 0
BL AU: (leer) → 195</t>
  </si>
  <si>
    <t>Zeile «PLAN ÄAVE insgesamt 2030» ist im PDF leer (BL und alle VR); Summe der beiden PLAN-Teilzeilen</t>
  </si>
  <si>
    <t>K|Wien|*|*|haupt|PLAN|insgesamt|*|summe:spitalsambulant+extramural</t>
  </si>
  <si>
    <t>3a4b3dcd320e</t>
  </si>
  <si>
    <t>Korrektur (Widerspruch)</t>
  </si>
  <si>
    <t>Kärnten · BL * · aequivalent · IST</t>
  </si>
  <si>
    <t>ÄAVE insgesamt 2022</t>
  </si>
  <si>
    <t>KFO</t>
  </si>
  <si>
    <t>summe:spitalsambulant+niedergelassen+selbst_amb+kassen_amb</t>
  </si>
  <si>
    <t>BL KFO: 0 → 12,1</t>
  </si>
  <si>
    <t>PDF S.97: insgesamt KFO «-», obwohl niedergelassen KFO 12,1 – Widerspruch im PDF</t>
  </si>
  <si>
    <t>K|Kärnten|BL|*|aequivalent|IST|insgesamt|KFO|summe:spitalsambulant+niedergelassen+selbst_amb+kassen_amb</t>
  </si>
  <si>
    <t>bd4c9fad58b4</t>
  </si>
  <si>
    <t>BL gesamt: 939,2 → 951,3</t>
  </si>
  <si>
    <t>PDF S.97: insgesamt gesamt 939,2 enthält KFO 12,1 nicht; Summe der Teilzeilen 951,3</t>
  </si>
  <si>
    <t>K|Kärnten|BL|*|aequivalent|IST|insgesamt|gesamt|summe:spitalsambulant+niedergelassen+selbst_amb+kassen_amb</t>
  </si>
  <si>
    <t>f8b34613dc4b</t>
  </si>
  <si>
    <t>Kärnten · * * · aequivalent · PLAN</t>
  </si>
  <si>
    <t>97, 99, 102</t>
  </si>
  <si>
    <t>davon in PVE (Zentren und Netzwerke; PLAN: zumindest) [Zeile nicht im PDF]</t>
  </si>
  <si>
    <t>zeilensumme_wenn_leer</t>
  </si>
  <si>
    <t>BL gesamt: (leer) → 43
VR 22 gesamt: (leer) → 19,9
VR 21 gesamt: (leer) → 23,2</t>
  </si>
  <si>
    <t>PDF S.97 (BL) leer, S.99/S.102 (VR 21/22) leer bzw. «-»: gesamt-Spalte der PVE-Zeile</t>
  </si>
  <si>
    <t>K|Kärnten|*|*|aequivalent|PLAN|pve|gesamt|zeilensumme_wenn_leer</t>
  </si>
  <si>
    <t>ed44d3884a03</t>
  </si>
  <si>
    <t>Steiermark · VR * · aequivalent · PLAN</t>
  </si>
  <si>
    <t>3, 9, 13</t>
  </si>
  <si>
    <t>VR 61 gesamt: (leer) → 56,9
VR 64 gesamt: (leer) → 45,2
VR 66 gesamt: (leer) → 14,7</t>
  </si>
  <si>
    <t>PDF VR 61/64/66: gesamt-Spalte der PVE-Zeile leer</t>
  </si>
  <si>
    <t>K|Steiermark|VR|*|aequivalent|PLAN|pve|gesamt|zeilensumme_wenn_leer</t>
  </si>
  <si>
    <t>5440b4f3f7b8</t>
  </si>
  <si>
    <t>davon in VGF gesamt (IST: Gruppenpraxen, PVE, Ambulatorien; PLAN: PVE, Ambulatorien) [Zeile nicht im PDF]</t>
  </si>
  <si>
    <t>VR 61 gesamt: (leer) → 61,5
VR 64 gesamt: (leer) → 50,2
VR 66 gesamt: (leer) → 14,7</t>
  </si>
  <si>
    <t>PDF VR 61/64/66: gesamt-Spalte der VGF-Zeile leer</t>
  </si>
  <si>
    <t>K|Steiermark|VR|*|aequivalent|PLAN|vgf|gesamt|zeilensumme_wenn_leer</t>
  </si>
  <si>
    <t>2158c3065e4f</t>
  </si>
  <si>
    <t>Vorarlberg · * * · haupt · PLAN</t>
  </si>
  <si>
    <t>4_VO_RSG_Vbg_2025_Anlage.pdf</t>
  </si>
  <si>
    <t>1, 3</t>
  </si>
  <si>
    <t>- davon zumindest in PVE (Zentren und Netzwerke)</t>
  </si>
  <si>
    <t>BL gesamt: (leer) → 9
VR 81 gesamt: (leer) → 9</t>
  </si>
  <si>
    <t>PDF S.1 (BL) leer, S.3 (VR 81) «x»: gesamt-Spalte der PVE-Zeile</t>
  </si>
  <si>
    <t>K|Vorarlberg|*|*|haupt|PLAN|pve|gesamt|zeilensumme_wenn_leer</t>
  </si>
  <si>
    <t>51d06e67dfa4</t>
  </si>
  <si>
    <t>Vorarlberg · VR 82 · haupt · IST</t>
  </si>
  <si>
    <t>IST Anzahl Ambulatorien-Standorte (mit Kassenvertrag und kasseneigen) gesamt 2023</t>
  </si>
  <si>
    <t>zeilensumme</t>
  </si>
  <si>
    <t>VR 82 gesamt: 0 → 6</t>
  </si>
  <si>
    <t>PDF S.5 (VR 82): gesamt «0», aber ZMK 6 Standorte; BL 18 = VR81 12 + VR82 6</t>
  </si>
  <si>
    <t>K|Vorarlberg|VR|82|haupt|IST|amb_standorte|gesamt|zeilensumme</t>
  </si>
  <si>
    <t>c25a3da80cf9</t>
  </si>
  <si>
    <t>Vorarlberg · VR 82 · haupt · PLAN</t>
  </si>
  <si>
    <t>slst_eva</t>
  </si>
  <si>
    <t>VR 82 gesamt: 0 → 3</t>
  </si>
  <si>
    <t>PDF S.5 (VR 82): gesamt «0», aber AM 3 EVA-Stellen; BL 9 = VR81 6 + VR82 3</t>
  </si>
  <si>
    <t>K|Vorarlberg|VR|82|haupt|PLAN|slst_eva|gesamt|zeilensumme</t>
  </si>
  <si>
    <t>422a8d3988fc</t>
  </si>
  <si>
    <t>Burgenland · BL * · aequivalent · PLAN</t>
  </si>
  <si>
    <t>ÄAVE niedergelassene ÄrztInnen und in selbstständigen Ambulatorien (mit Kassenvertrag und kasseneigene) gesamt [Bildseite]</t>
  </si>
  <si>
    <t>AU</t>
  </si>
  <si>
    <t>vr_summe</t>
  </si>
  <si>
    <t>BL AU: 14,5 → 15,5</t>
  </si>
  <si>
    <t>PDF S.1: BL-Matrix AU 14,5, aber VR 11 (8,0) + VR 12 (7,5) = 15,5; Entscheidung: VR-Summe übernehmen (Regionen summieren sich zum BL)</t>
  </si>
  <si>
    <t>K|Burgenland|BL|*|aequivalent|PLAN|extramural|AU|vr_summe</t>
  </si>
  <si>
    <t>6d39e175516e</t>
  </si>
  <si>
    <t>ÄAVE insgesamt [Bildseite]</t>
  </si>
  <si>
    <t>BL AU: 18,5 → 19,5</t>
  </si>
  <si>
    <t>PDF S.1: BL-Matrix AU 18,5, aber VR 11 (11,2) + VR 12 (8,3) = 19,5; Entscheidung: VR-Summe übernehmen</t>
  </si>
  <si>
    <t>K|Burgenland|BL|*|aequivalent|PLAN|insgesamt|AU|vr_summe</t>
  </si>
  <si>
    <t>4d0c711877f1</t>
  </si>
  <si>
    <t>Korrektur (Folge)</t>
  </si>
  <si>
    <t>BL gesamt: 423,3 → 424,3</t>
  </si>
  <si>
    <t>Folge der AU-Korrektur: PDF 423,3 → Summe der Fachspalten (inkl. AU 15,5)</t>
  </si>
  <si>
    <t>K|Burgenland|BL|*|aequivalent|PLAN|extramural|gesamt|zeilensumme</t>
  </si>
  <si>
    <t>6713ed5554cb</t>
  </si>
  <si>
    <t>Burgenland · * * · aequivalent · PLAN</t>
  </si>
  <si>
    <t>1, 3, 8</t>
  </si>
  <si>
    <t>ÄAVE-Ä &amp; ÄAVE insgesamt 2030</t>
  </si>
  <si>
    <t>SON/IDB</t>
  </si>
  <si>
    <t>VR 11 SON/IDB: (leer) → 2,35
VR 12 SON/IDB: (leer) → 5,99
BL SON/IDB: (leer) → 8,3</t>
  </si>
  <si>
    <t>PDF S.1 (BL, Bildseite), S.3/S.8 (VR 11/12): «ÄAVE-Ä &amp; ÄAVE insgesamt 2030» SON/IDB «n.v.», obwohl «ÄAVE-Ä spitalsambulant» SON/IDB (ZAE) 8,3 bzw. 2,35 / 5,99 und extramural «n.v.» – ZAE nicht in insgesamt übernommen</t>
  </si>
  <si>
    <t>K|Burgenland|*|*|aequivalent|PLAN|insgesamt|SON/IDB|summe:spitalsambulant+extramural</t>
  </si>
  <si>
    <t>0280a8932d4e</t>
  </si>
  <si>
    <t>BL RAD: (leer) → 2</t>
  </si>
  <si>
    <t>PDF S.1 (Bildseite): «ÄAVE-Ä &amp; ÄAVE insgesamt 2030» RAD «n.v.», obwohl extramural RAD 2,0 und spitalsambulant «-»</t>
  </si>
  <si>
    <t>K|Burgenland|BL|*|aequivalent|PLAN|insgesamt|RAD|summe:spitalsambulant+extramural</t>
  </si>
  <si>
    <t>75c3771c2a03</t>
  </si>
  <si>
    <t>VR 11 gesamt: 337,2 → 339,5
VR 12 gesamt: 183,2 → 189,3
BL gesamt: 519,4 → 530,8</t>
  </si>
  <si>
    <t>PDF S.1/S.3/S.8: insgesamt gesamt 519,4 / 337,2 / 183,2 enthält SON/IDB (ZAE) nicht, BL auch RAD 2,0 nicht; Summe der Teilzeilen (BL extramural nach AU-Korrektur 424,3): BL 530,8, VR 11 339,5, VR 12 189,3</t>
  </si>
  <si>
    <t>K|Burgenland|*|*|aequivalent|PLAN|insgesamt|gesamt|summe:spitalsambulant+extramural</t>
  </si>
  <si>
    <t>842a371d6203</t>
  </si>
  <si>
    <t>VR 11 gesamt: (leer) → 5,2
VR 12 gesamt: (leer) → 5,7
BL gesamt: (leer) → 10,9</t>
  </si>
  <si>
    <t>PDF S.1 (BL, untere Tabelle: schraffiert), S.3/S.8 (VR 11/12): gesamt-Spalte der PVE-Zeile leer; AM 10,9 bzw. 5,2 / 5,7</t>
  </si>
  <si>
    <t>K|Burgenland|*|*|aequivalent|PLAN|pve|gesamt|zeilensumme_wenn_leer</t>
  </si>
  <si>
    <t>838bc595e2e5</t>
  </si>
  <si>
    <t>Burgenland · BL * · haupt · PLAN</t>
  </si>
  <si>
    <t>PDF S.1: wie im ÄAVE-Ä-Block – BL-Matrix AU 14,5, aber VR 11 (8,0) + VR 12 (7,5) = 15,5; VR-Summe übernehmen</t>
  </si>
  <si>
    <t>K|Burgenland|BL|*|haupt|PLAN|extramural|AU|vr_summe</t>
  </si>
  <si>
    <t>7ccfe2bac2e1</t>
  </si>
  <si>
    <t>K|Burgenland|BL|*|haupt|PLAN|extramural|gesamt|zeilensumme</t>
  </si>
  <si>
    <t>ÄAVE spitalsambulant [Bildseite]</t>
  </si>
  <si>
    <t>SVE</t>
  </si>
  <si>
    <t>spitalsambulant</t>
  </si>
  <si>
    <t>11 Zellen, z. B.
BL AU: 4 → 2
BL CH: 12 → 11,7
BL GGH: 11,9 → 3,8</t>
  </si>
  <si>
    <t>PDF S.1: Zeile «SVE spitalsambulant» PLAN = in jedem Fach exakt Σ VR der ÄAVE-Ä-Zeile (ohne SON 8,3; gesamt 98,2), nicht Σ VR SVE (30 + 18,2 = 48,2). VR-Werte sind echte SVE: ÄAVE-Ä/SVE je VR entspricht bei 8 von 10 Fächern dem Umrechnungsfaktor (IM/AU: Planungsentscheidung bzw. kein Faktor). IST 2022 BL = Σ VR (42,9 / 43,0). Kopierfehler im PDF → VR-Summe übernehmen</t>
  </si>
  <si>
    <t>K|Burgenland|BL|*|haupt|PLAN|spitalsambulant|*|vr_summe</t>
  </si>
  <si>
    <t>2f8f93244e89</t>
  </si>
  <si>
    <t>Korrektur (Zellbedeutung)</t>
  </si>
  <si>
    <t>Burgenland · BL * · * · IST</t>
  </si>
  <si>
    <t>ÄAVE WahlärztInnen und in selbstständigen Ambulatorien (ohne Kassenvertrag) [Bildseite]</t>
  </si>
  <si>
    <t>nicht_ausgewiesen</t>
  </si>
  <si>
    <t>44 Zellen, z. B.
BL aequivalent AM: 0 → (leer)
BL aequivalent AN: 0 → (leer)
BL aequivalent KIJU: 0 → (leer)</t>
  </si>
  <si>
    <t>PDF Anlage 1 S.1 (Bildseite): Wahlärzt:innen-Zeile (grün = «optionale Angabe»; ÖSG Tabellenband S.251 «Angabe optional») in beiden Blöcken nur «-» und «n.v.», gesamt «0» bzw. «-»; in keinem Fach eine Zahl → nicht ausgefüllt, nicht «keine»</t>
  </si>
  <si>
    <t>K|Burgenland|BL|*|*|IST|wahl|*|nicht_ausgewiesen</t>
  </si>
  <si>
    <t>42f0c7f629b0</t>
  </si>
  <si>
    <t>Steiermark · BL * · * · IST</t>
  </si>
  <si>
    <t>ÄAVE (ggf. SVE) WahlärztInnen und in selbstständigen Ambulatorien (ohne Kassenvertrag) · ÄAVE/ÄAVE-Ä WahlärztInnen und in selbstständigen Ambulatorien (ohne Kassenvertrag)</t>
  </si>
  <si>
    <t>45 Zellen, z. B.
BL haupt AM: 0 → (leer)
BL haupt AN: 0 → (leer)
BL haupt KIJU: 0 → (leer)</t>
  </si>
  <si>
    <t>PDF S.1: Wahlärzt:innen-Zeile (laut Legende grün = «optionale Angabe»; ÖSG Tabellenband S.251 «Angabe optional») in beiden Blöcken nur «-» und «n.v.», in keinem Fach eine Zahl → nicht ausgefüllt, nicht «keine»</t>
  </si>
  <si>
    <t>K|Steiermark|BL|*|*|IST|wahl|*|nicht_ausgewiesen</t>
  </si>
  <si>
    <t>c8e01df33735</t>
  </si>
  <si>
    <t>Vorarlberg · VR * · haupt · IST</t>
  </si>
  <si>
    <t>3, 5</t>
  </si>
  <si>
    <t>42 Zellen, z. B.
VR 81 AM: 0 → (leer)
VR 81 AN: 0 → (leer)
VR 81 KIJU: 0 → (leer)</t>
  </si>
  <si>
    <t>PDF S.3/S.5 (VR 81/82): Wahlärzt:innen-Zeile (grün = «optionale Angabe») in allen Fächern «0» bzw. «n.v.», auch gesamt → nicht ausgefüllt, nicht «keine»</t>
  </si>
  <si>
    <t>K|Vorarlberg|VR|*|haupt|IST|wahl|*|nicht_ausgewiesen</t>
  </si>
  <si>
    <t>0e0df4125393</t>
  </si>
  <si>
    <t>Korrektur (Fußnote)</t>
  </si>
  <si>
    <t>OÖ · BL OÖ · haupt · *</t>
  </si>
  <si>
    <t>IST ÄAVE insgesamt 2022 · PLAN ÄAVE insgesamt 2030 · ÄAVE niedergelassene ÄrztInnen gesamt (mit Kassenvertrag) · ÄAVE niedergelassene ÄrztInnen und in selbstständigen Ambulatorien (mit Kassenvertrag und kasseneigene) gesamt</t>
  </si>
  <si>
    <t>insgesamt+niedergelassen+extramural</t>
  </si>
  <si>
    <t>zusatz:38.2</t>
  </si>
  <si>
    <t>8 Zellen, z. B.
BL IST insgesamt KFO: (leer) → 38,2
BL IST insgesamt gesamt: 2236 → 2274,2
BL IST niedergelassen KFO: (leer) → 38,2</t>
  </si>
  <si>
    <t>PDF S.10, Fußnote zu «ZMK*» (OÖ gesamt): «ZMK – exkl. …; zusätzlich KFO: IST 2022 und Plan 2030: 38,2 ÄAVE bzw. 32 vertragskieferorthopädische Planstellen SV». Matrix ohne KFO-Spalte, ZMK und gesamt ohne KFO. Gelesen als: 38,2 ÄAVE in IST und PLAN; zugeordnet zu insgesamt und zur Zeile der Niedergelassenen (IST niedergelassen, PLAN niedergelassen+Ambulatorien), gesamt + 38,2. Planstellen nicht übernommen (Träger nicht angegeben)</t>
  </si>
  <si>
    <t>K|OÖ|BL|OÖ|haupt|*|insgesamt+niedergelassen+extramural|KFO|zusatz:38.2</t>
  </si>
  <si>
    <t>8288d6dcadd7</t>
  </si>
  <si>
    <t>OÖ · VR 41 · haupt · *</t>
  </si>
  <si>
    <t>zusatz:11.5</t>
  </si>
  <si>
    <t>8 Zellen, z. B.
VR 41 IST insgesamt KFO: (leer) → 11,5
VR 41 IST insgesamt gesamt: 711,8 → 723,3
VR 41 IST niedergelassen KFO: (leer) → 11,5</t>
  </si>
  <si>
    <t>PDF S.12, Fußnote VR 41 zu «ZMK*»: «zusätzlich KFO: IST 2022 und Plan 2030: 11,5 ÄAVE bzw. 9 vertragskieferorthopädische Planstellen SV»; Zuordnung wie BL (S.10)</t>
  </si>
  <si>
    <t>K|OÖ|VR|41|haupt|*|insgesamt+niedergelassen+extramural|KFO|zusatz:11.5</t>
  </si>
  <si>
    <t>b07a9d5b89e6</t>
  </si>
  <si>
    <t>OÖ · VR 42 · haupt · *</t>
  </si>
  <si>
    <t>zusatz:3.3</t>
  </si>
  <si>
    <t>8 Zellen, z. B.
VR 42 IST insgesamt KFO: (leer) → 3,3
VR 42 IST insgesamt gesamt: 364,3 → 367,6
VR 42 IST niedergelassen KFO: (leer) → 3,3</t>
  </si>
  <si>
    <t>PDF S.15, Fußnote VR 42 zu «ZMK*»: «zusätzlich KFO: IST 2022 und Plan 2030: 3,3 ÄAVE bzw. 5 vertragskieferorthopädische Planstellen SV»; Zuordnung wie BL (S.10)</t>
  </si>
  <si>
    <t>K|OÖ|VR|42|haupt|*|insgesamt+niedergelassen+extramural|KFO|zusatz:3.3</t>
  </si>
  <si>
    <t>44aaf1a2e378</t>
  </si>
  <si>
    <t>OÖ · VR 43 · haupt · *</t>
  </si>
  <si>
    <t>zusatz:5.9</t>
  </si>
  <si>
    <t>8 Zellen, z. B.
VR 43 IST insgesamt KFO: (leer) → 5,9
VR 43 IST insgesamt gesamt: 295,2 → 301,1
VR 43 IST niedergelassen KFO: (leer) → 5,9</t>
  </si>
  <si>
    <t>PDF S.18, Fußnote VR 43 zu «ZMK*»: «zusätzlich KFO: IST 2022 und Plan 2030: 5,9 ÄAVE bzw. 5 vertragskieferorthopädische Planstellen SV»; Zuordnung wie BL (S.10)</t>
  </si>
  <si>
    <t>K|OÖ|VR|43|haupt|*|insgesamt+niedergelassen+extramural|KFO|zusatz:5.9</t>
  </si>
  <si>
    <t>1f12f8c1a723</t>
  </si>
  <si>
    <t>OÖ · VR 44 · haupt · *</t>
  </si>
  <si>
    <t>zusatz:5.8</t>
  </si>
  <si>
    <t>8 Zellen, z. B.
VR 44 IST insgesamt KFO: (leer) → 5,8
VR 44 IST insgesamt gesamt: 232,8 → 238,6
VR 44 IST niedergelassen KFO: (leer) → 5,8</t>
  </si>
  <si>
    <t>PDF S.21, Fußnote VR 44 zu «ZMK*»: «zusätzlich KFO: IST 2022 und Plan 2030: 5,8 ÄAVE bzw. 3 vertragskieferorthopädische Planstellen SV»; Zuordnung wie BL (S.10)</t>
  </si>
  <si>
    <t>K|OÖ|VR|44|haupt|*|insgesamt+niedergelassen+extramural|KFO|zusatz:5.8</t>
  </si>
  <si>
    <t>74655b59646a</t>
  </si>
  <si>
    <t>OÖ · VR 45 · haupt · *</t>
  </si>
  <si>
    <t>zusatz:7.6</t>
  </si>
  <si>
    <t>8 Zellen, z. B.
VR 45 IST insgesamt KFO: (leer) → 7,6
VR 45 IST insgesamt gesamt: 322,3 → 329,9
VR 45 IST niedergelassen KFO: (leer) → 7,6</t>
  </si>
  <si>
    <t>PDF S.24, Fußnote VR 45 zu «ZMK*»: «zusätzlich KFO: IST 2022 und Plan 2030: 7,6 ÄAVE bzw. 5 vertragskieferorthopädische Planstellen SV»; Zuordnung wie BL (S.10)</t>
  </si>
  <si>
    <t>K|OÖ|VR|45|haupt|*|insgesamt+niedergelassen+extramural|KFO|zusatz:7.6</t>
  </si>
  <si>
    <t>7fdc72341575</t>
  </si>
  <si>
    <t>OÖ · VR 46 · haupt · *</t>
  </si>
  <si>
    <t>zusatz:4.2</t>
  </si>
  <si>
    <t>8 Zellen, z. B.
VR 46 IST insgesamt KFO: (leer) → 4,2
VR 46 IST insgesamt gesamt: 309,7 → 313,9
VR 46 IST niedergelassen KFO: (leer) → 4,2</t>
  </si>
  <si>
    <t>PDF S.27, Fußnote VR 46 zu ZMK (Spaltenkopf ohne Stern): «zusätzlich KFO: IST 2022 und Plan 2030: 4,2 ÄAVE bzw. 5 vertragskieferorthopädische Planstellen SV»; Zuordnung wie BL (S.10)</t>
  </si>
  <si>
    <t>K|OÖ|VR|46|haupt|*|insgesamt+niedergelassen+extramural|KFO|zusatz:4.2</t>
  </si>
  <si>
    <t>46f02c9085c2</t>
  </si>
  <si>
    <t>OÖ · VR 42 · haupt · PLAN</t>
  </si>
  <si>
    <t>zusätzliche SVS-Sachleistungsstellen [Zeile nicht im PDF] – zu: «zusätzliche SVS-Sachleistungsstellen»</t>
  </si>
  <si>
    <t>slst_zus_svs_max_vaep_prozent</t>
  </si>
  <si>
    <t>wert:100</t>
  </si>
  <si>
    <t>VR 42 IM: (leer) → 100</t>
  </si>
  <si>
    <t>PDF S.14 (VR 42): zusätzliche SVS-Sachleistungsstellen IM 1,0, darunter das %-Feld leer (AM und ORTR daneben 100,0); BL (S.9) 4,5 Stellen à 22,2 % = 1,0 vertragsärztlich, VR 41 3,5 à 0 % = 0 → VR 42 1,0 von 1,0 = 100 %</t>
  </si>
  <si>
    <t>K|OÖ|VR|42|haupt|PLAN|slst_zus_svs_max_vaep_prozent|IM|wert:100</t>
  </si>
  <si>
    <t>83e2b4faf84e</t>
  </si>
  <si>
    <t>GGH</t>
  </si>
  <si>
    <t>VR 42 GGH: (leer) → 100</t>
  </si>
  <si>
    <t>PDF S.14 (VR 42): zusätzliche SVS-Sachleistungsstellen GGH 1,0, darunter das %-Feld leer (AM und ORTR daneben 100,0); BL (S.9) 4,5 Stellen à 66,7 % = 3,0 vertragsärztlich, VR 41 3,5 à 57,1 % = 2,0 → VR 42 1,0 von 1,0 = 100 %</t>
  </si>
  <si>
    <t>K|OÖ|VR|42|haupt|PLAN|slst_zus_svs_max_vaep_prozent|GGH|wert:100</t>
  </si>
  <si>
    <t>e56859740008</t>
  </si>
  <si>
    <t>VR 42 DER: (leer) → 100</t>
  </si>
  <si>
    <t>PDF S.14 (VR 42): zusätzliche SVS-Sachleistungsstellen DER 1,0, darunter das %-Feld leer (AM und ORTR daneben 100,0); BL (S.9) 5,8 Stellen à 74,1 % = 4,3 vertragsärztlich, VR 41 3,8 à 60,5 % = 2,3, VR 44 1,0 à 100 % = 1,0 → VR 42 1,0 von 1,0 = 100 %</t>
  </si>
  <si>
    <t>K|OÖ|VR|42|haupt|PLAN|slst_zus_svs_max_vaep_prozent|DER|wert:100</t>
  </si>
  <si>
    <t>6095914a2877</t>
  </si>
  <si>
    <t>PUL</t>
  </si>
  <si>
    <t>VR 42 PUL: (leer) → 100</t>
  </si>
  <si>
    <t>PDF S.14 (VR 42): zusätzliche SVS-Sachleistungsstellen PUL 1,0, darunter das %-Feld leer (AM und ORTR daneben 100,0); BL (S.9) 3,0 Stellen à 100 % = 3,0 vertragsärztlich, VR 41 2,0 à 100 % = 2,0 → VR 42 1,0 von 1,0 = 100 %</t>
  </si>
  <si>
    <t>K|OÖ|VR|42|haupt|PLAN|slst_zus_svs_max_vaep_prozent|PUL|wert:100</t>
  </si>
  <si>
    <t>f068f991f872</t>
  </si>
  <si>
    <t>Kärnten · BL * · haupt · PLAN</t>
  </si>
  <si>
    <t>BL AM: (leer) → 100</t>
  </si>
  <si>
    <t>PDF S.97: zusätzliche SVS-Sachleistungsstellen AM 10,0, darunter das %-Feld leer; VR 21 (S.99) 5,0 à 100 % und VR 22 (S.102) 5,0 à 100 % → BL 10,0 à 100 %</t>
  </si>
  <si>
    <t>K|Kärnten|BL|*|haupt|PLAN|slst_zus_svs_max_vaep_prozent|AM|wert:100</t>
  </si>
  <si>
    <t>3b154bcaa9e2</t>
  </si>
  <si>
    <t>- davon maximal als vertragsärztliche Planstellen in % – zu: «Gemeinsame Sachleistungsstellen aller KV-Träger»</t>
  </si>
  <si>
    <t>slst_gemeinsam_max_vaep_prozent</t>
  </si>
  <si>
    <t>VR 82 gesamt: 0 → (leer)</t>
  </si>
  <si>
    <t>PDF S.5 (VR 82): gesamt-% der gemeinsamen Sachleistungsstellen «0», obwohl alle Fach-% 96–100 (mit den Stellen gewichtet 97,4 %); BL (S.1) und VR 81 (S.3) lassen das gesamt-% leer – «0» heißt hier «nicht angegeben» (in derselben Spalte auch «davon in EVA» «0» statt 3); danach wie BL und VR 81 aus den Fach-% abgeleitet</t>
  </si>
  <si>
    <t>K|Vorarlberg|VR|82|haupt|PLAN|slst_gemeinsam_max_vaep_prozent|gesamt|nicht_ausgewiesen</t>
  </si>
  <si>
    <t>39d468213ce4</t>
  </si>
  <si>
    <t>Burgenland · VR 12 · aequivalent · PLAN</t>
  </si>
  <si>
    <t>ÄAVE niedergelassene ÄrztInnen und in selbstständigen Ambulatorien (mit Kassenvertrag und kasseneigene) gesamt [im PDF gesperrt gesetzt] · ÄAVE-Ä &amp; ÄAVE insgesamt 2030</t>
  </si>
  <si>
    <t>extramural+insgesamt</t>
  </si>
  <si>
    <t>zusatz:2.0</t>
  </si>
  <si>
    <t>VR 12 extramural RAD: (leer) → 2
VR 12 extramural gesamt: 137,8 → 139,8
VR 12 insgesamt RAD: (leer) → 2
VR 12 insgesamt gesamt: 189,3 → 191,3</t>
  </si>
  <si>
    <t>PDF S.8 (VR 12): ÄAVE-Ä-Block extramural RAD «n.v.», im Block haupt 2,0 und in der BL-Matrix (S.1) in beiden Blöcken 2,0; Burgenland übernimmt extramural sonst unverändert (alle übrigen 55 Werte gleich, kein Faktor) → 2,0, gesamt 137,8 → 139,8; insgesamt RAD 2,0</t>
  </si>
  <si>
    <t>K|Burgenland|VR|12|aequivalent|PLAN|extramural+insgesamt|RAD|zusatz:2.0</t>
  </si>
  <si>
    <t>517471c9cdeb</t>
  </si>
  <si>
    <t>Kärnten · VR 22 · aequivalent · IST</t>
  </si>
  <si>
    <t>ÄAVE niedergelassene ÄrztInnen gesamt (mit Kassenvertrag) · ÄAVE insgesamt 2022</t>
  </si>
  <si>
    <t>niedergelassen+insgesamt</t>
  </si>
  <si>
    <t>KIJU</t>
  </si>
  <si>
    <t>plus:6.3</t>
  </si>
  <si>
    <t>VR 22 niedergelassen KIJU: (leer) → 6,3
VR 22 niedergelassen gesamt: 245,5 → 251,8
VR 22 insgesamt KIJU: 4,7 → 11
VR 22 insgesamt gesamt: 332,7 → 339</t>
  </si>
  <si>
    <t>PDF S.102 (VR 22): ÄAVE-Ä-Block niedergelassen KIJU leer, im Block haupt (S.101) 6,3; Regiomed-Faktor «-» (keine Umrechnung), im PLAN steht 6,30 auch im ÄAVE-Ä-Block → 6,3; gesamt 245,5 → 251,8 (= haupt), insgesamt KIJU 4,7 → 11,0</t>
  </si>
  <si>
    <t>K|Kärnten|VR|22|aequivalent|IST|niedergelassen+insgesamt|KIJU|plus:6.3</t>
  </si>
  <si>
    <t>0544fc88859b</t>
  </si>
  <si>
    <t>BL niedergelassen KIJU: 9,4 → 15,7
BL niedergelassen gesamt: 638,7 → 645
BL insgesamt KIJU: 20,7 → 27
BL insgesamt gesamt: 951,3 → 957,6</t>
  </si>
  <si>
    <t>PDF S.97: BL ÄAVE-Ä niedergelassen KIJU 9,4 = nur VR 21; im Block haupt 15,7 = VR 21 9,4 + VR 22 6,3 – Folge der Lücke in VR 22: 9,4 → 15,7, gesamt 638,7 → 645,0 (= haupt), insgesamt KIJU 20,7 → 27,0</t>
  </si>
  <si>
    <t>K|Kärnten|BL|*|aequivalent|IST|niedergelassen+insgesamt|KIJU|plus:6.3</t>
  </si>
  <si>
    <t>6100066a5993</t>
  </si>
  <si>
    <t>bekannte Abweichung</t>
  </si>
  <si>
    <t>OÖ · OÖ · haupt · IST</t>
  </si>
  <si>
    <t>Prüfung vr_summe_gleich_bl bleibt offen (geht nicht auf oder ist nicht prüfbar)</t>
  </si>
  <si>
    <t>28 Zellen, z. B.
BL AM: 18,2
BL AN: 0
BL KIJU: 5,2</t>
  </si>
  <si>
    <t>VR-Matrizen OÖ (S.11–26) enthalten keine Wahlärzt:innen-Zeile, nur die BL-Matrix</t>
  </si>
  <si>
    <t>B|vr_summe_gleich_bl|OÖ|OÖ|haupt|IST|wahl|*</t>
  </si>
  <si>
    <t>5b155fa8fb5f</t>
  </si>
  <si>
    <t>Kärnten · Kärnten · aequivalent · IST</t>
  </si>
  <si>
    <t>27 Zellen, z. B.
BL AM: 5,1
BL AN: 0
BL KIJU: 3,8</t>
  </si>
  <si>
    <t>VR-Matrizen Kärnten (S.99–102) enthalten keine Wahlärzt:innen-Zeile, nur die BL-Matrix (S.97)</t>
  </si>
  <si>
    <t>B|vr_summe_gleich_bl|Kärnten|Kärnten|aequivalent|IST|wahl|*</t>
  </si>
  <si>
    <t>a5c516e68792</t>
  </si>
  <si>
    <t>Vorarlberg · Vorarlberg · haupt · PLAN</t>
  </si>
  <si>
    <t>ZMK</t>
  </si>
  <si>
    <t>Prüfung prozent_gewichtet bleibt offen (geht nicht auf oder ist nicht prüfbar)</t>
  </si>
  <si>
    <t>BL ZMK: 90</t>
  </si>
  <si>
    <t>PDF S.1/S.3/S.5 (visuell geprüft): BL 128 Stellen à 90 %, VR 81 71 à 89 %, VR 82 57 à 96 % → gewichtet 92,1 %; max. VÄP BL 115,2 vs. Σ VR 117,9 – Widerspruch im PDF</t>
  </si>
  <si>
    <t>B|prozent_gewichtet|Vorarlberg|Vorarlberg|haupt|PLAN|slst_gemeinsam_max_vaep_prozent|ZMK</t>
  </si>
  <si>
    <t>9f02fb7d5bb8</t>
  </si>
  <si>
    <t>OÖ · OÖ · haupt · PLAN</t>
  </si>
  <si>
    <t>zusätzliche SVS-Sachleistungsstellen</t>
  </si>
  <si>
    <t>URO</t>
  </si>
  <si>
    <t>PDF S.9 (BL) und S.11 (VR 41, die einzige VR mit URO-Stellen): zusätzliche SVS-Sachleistungsstellen URO je 1,5, das %-Feld darunter leer – wie viel davon höchstens Kassenpraxis sein darf, steht nirgends und folgt aus keiner anderen Zahl (BL = VR 41); gesamt-% der Zeile daher nicht abgeleitet</t>
  </si>
  <si>
    <t>B|prozent_gewichtet|OÖ|OÖ|haupt|PLAN|slst_zus_svs_max_vaep_prozent|URO</t>
  </si>
  <si>
    <t>5782d3ca1744</t>
  </si>
  <si>
    <t>Burgenland · * · aequivalent · PLAN</t>
  </si>
  <si>
    <t>ÄAVE-Ä spitalsambulant</t>
  </si>
  <si>
    <t>Prüfung faktor_aequivalente bleibt offen (geht nicht auf oder ist nicht prüfbar)</t>
  </si>
  <si>
    <t>BL IM: 20,7
VR 11 IM: 11,9
VR 12 IM: 8,8</t>
  </si>
  <si>
    <t>PDF S.3/S.8: PLAN IM nicht mit dem gedruckten Faktor der Region gerechnet: VR 11 SVE 5,8 × 2,4 = 13,9, im PDF 11,9; VR 12 3,5 × 4,2 = 14,7, im PDF 8,8 (alle anderen Fächer passen). Gegen ÖSG Tabellenband S.254; welcher Faktor gilt, steht nicht im PDF (METHODIK R6, offene_punkte: Rückfrage)</t>
  </si>
  <si>
    <t>B|faktor_aequivalente|Burgenland|*|aequivalent|PLAN|spitalsambulant|IM</t>
  </si>
  <si>
    <t>3ce8692fe3ef</t>
  </si>
  <si>
    <t>Burgenland · Burgenland · aequivalent · PLAN</t>
  </si>
  <si>
    <t>BL AU: 4</t>
  </si>
  <si>
    <t>PDF S.1/S.3/S.8: AU hat nur einen BL-Faktor (5,0, IST), die Regionen keinen. PLAN-ÄAVE-Ä BL 4,0 = VR 11 3,2 + VR 12 0,8. Die BL-Zeile «SVE spitalsambulant» druckt ebenfalls 4,0 – das ist Σ VR der ÄAVE-Ä, nicht der SVE (Korrektur auf Σ VR SVE = 1,2 + 0,8 = 2,0, Regel «SVE spitalsambulant PLAN»). Weder 2,0 × 5,0 noch 4,0 × 5,0 ergibt 4,0; VR 11 wurde mit rund 2,7, VR 12 mit 1 umgerechnet – welche Faktoren gelten, steht nicht im PDF (METHODIK R6, offene_punkte: Rückfrage)</t>
  </si>
  <si>
    <t>B|faktor_aequivalente|Burgenland|Burgenland|aequivalent|PLAN|spitalsambulant|AU</t>
  </si>
  <si>
    <t>0eea701d0b97</t>
  </si>
  <si>
    <t>Steiermark · * · aequivalent · IST</t>
  </si>
  <si>
    <t>7 Seiten (1–13)</t>
  </si>
  <si>
    <t>7 Zellen, z. B.
BL SON/IDB: (leer)
VR 61 SON/IDB: (leer)
VR 62 SON/IDB: 0</t>
  </si>
  <si>
    <t>Spalte SON/IDB = ZAE. Zeile «SVE spitalsambulant»: ZAE nur in BL (4,4), VR 61 (4,1) und VR 64 (0,3), Faktor 5,71 (S.1, S.3, S.9); die übrigen VR haben keine. Zeile «ÄAVE-Äquivalente»: überall «n.v.» bzw. «-», nicht 4,1 × 5,71 = 23,4 und 0,3 × 5,71 = 1,7. Nicht ergänzt, weil es kein Fehler ist: Die IST-ÄAVE-Ä der Steiermark sind die Regiomed-Werte 2022 (z. B. IM spitalsambulant 175,2 wie im RSG-Monitoring), und dort stecken die ZAE schon in den Fachspalten, vor allem IM. Ergänzt zählten sie doppelt: spitalsambulant gesamt 574,5 statt 549,4, im Monitoring 551,1 (METHODIK R5, R6)</t>
  </si>
  <si>
    <t>B|faktor_aequivalente|Steiermark|*|aequivalent|IST|spitalsambulant|SON/IDB</t>
  </si>
  <si>
    <t>13eea0e8d9b8</t>
  </si>
  <si>
    <t>Ableitung</t>
  </si>
  <si>
    <t>alle Matrizen ohne diese Zeile im PDF · IST</t>
  </si>
  <si>
    <t>8 PDFs</t>
  </si>
  <si>
    <t>50 Matrizen</t>
  </si>
  <si>
    <t>ÄAVE niedergelassene ÄrztInnen und in selbstständigen Ambulatorien (mit Kassenvertrag und kasseneigene) gesamt [nicht im PDF, Summe der Teilzeilen]</t>
  </si>
  <si>
    <t>summe:niedergelassen+selbst_amb+kassen_amb</t>
  </si>
  <si>
    <t>1113 Zellen in 50 Matrizen (Burgenland, Kärnten, NÖ, OÖ, Salzburg, Steiermark, Tirol, Vorarlberg)</t>
  </si>
  <si>
    <t>Im PLAN weisen alle Länder «ÄAVE niedergelassene ÄrztInnen und in selbstständigen Ambulatorien (mit Kassenvertrag und kasseneigene) gesamt» aus, im IST nur Wien. Die drei Teilzeilen stehen im IST überall; ihre Summe ist dieselbe Größe (in Wien geprüft: Teile = extramural). Leere Teilzellen zählen nicht.</t>
  </si>
  <si>
    <t>A|IST|extramural</t>
  </si>
  <si>
    <t>509b05f9ea14</t>
  </si>
  <si>
    <t>alle %-Zeilen ohne gesamt-% im PDF · PLAN</t>
  </si>
  <si>
    <t>6 PDFs</t>
  </si>
  <si>
    <t>26 Matrizen</t>
  </si>
  <si>
    <t>- davon maximal als vertragsärztliche Planstellen in % [gesamt nicht im PDF, gewichtetes Mittel]</t>
  </si>
  <si>
    <t>*_max_vaep_prozent</t>
  </si>
  <si>
    <t>gewichtetes_mittel:fachspalten</t>
  </si>
  <si>
    <t>64 Zellen in 26 Matrizen (Burgenland, Kärnten, OÖ, Steiermark, Vorarlberg, Wien)</t>
  </si>
  <si>
    <t>Das gesamt-% einer Zeile «- davon maximal als vertragsärztliche Planstellen in %» ist der Anteil aller Stellen der Zeile, der höchstens als Kassenpraxis besetzt werden darf: das mit den Stellen gewichtete Mittel der Fach-% (jedes gedruckte gesamt-% rechnet so, Prüfung prozent_gesamt). Die ÖSG-Vorlage sieht das Feld vor (Tabellenband S.259), viele Länder füllen es nicht aus. Abgeleitet nur, wo jedes Fach mit Stellen ein % hat.</t>
  </si>
  <si>
    <t>A|PLAN|*_max_vaep_prozent|gesamt</t>
  </si>
  <si>
    <t>67934dbbacd9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</si>
</sst>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name val="Calibri"/>
      <family val="2"/>
    </font>
    <font>
      <i/>
      <sz val="11"/>
      <name val="Calibri"/>
      <family val="2"/>
    </font>
    <font>
      <b/>
      <sz val="11"/>
      <name val="Calibri"/>
      <family val="2"/>
    </font>
  </fonts>
  <fills count="3">
    <fill>
      <patternFill patternType="none"/>
    </fill>
    <fill>
      <patternFill patternType="gray125"/>
    </fill>
    <fill>
      <patternFill patternType="solid">
        <fgColor rgb="FFEDEDED"/>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applyAlignment="1">
      <alignment wrapText="1"/>
    </xf>
    <xf numFmtId="0" fontId="0" fillId="2" borderId="0" xfId="0" applyFill="1" applyAlignment="1">
      <alignment vertical="top"/>
    </xf>
    <xf numFmtId="0" fontId="0" fillId="2" borderId="0" xfId="0" applyFill="1" applyAlignment="1">
      <alignment vertical="top" wrapText="1"/>
    </xf>
    <xf numFmtId="49" fontId="3" fillId="2" borderId="0" xfId="0" applyNumberFormat="1" applyFont="1" applyFill="1" applyAlignment="1">
      <alignment vertical="top"/>
    </xf>
    <xf numFmtId="49" fontId="0" fillId="0" borderId="0" xfId="0" applyNumberFormat="1" applyAlignment="1">
      <alignment horizontal="center"/>
    </xf>
    <xf numFmtId="49" fontId="0" fillId="0" borderId="0" xfId="0" applyNumberFormat="1" applyAlignment="1">
      <alignment horizontal="left"/>
    </xf>
    <xf numFmtId="49" fontId="0" fillId="0" borderId="0" xfId="0" applyNumberFormat="1" applyAlignment="1">
      <alignment horizontal="left" wrapText="1"/>
    </xf>
  </cellXfs>
  <cellStyles count="1">
    <cellStyle name="Standard" xfId="0" builtinId="0"/>
  </cellStyles>
  <dxfs count="7">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workbookViewId="0"/>
  </sheetViews>
  <sheetFormatPr baseColWidth="10" defaultColWidth="8.83203125" defaultRowHeight="15" x14ac:dyDescent="0.2"/>
  <cols>
    <col min="1" max="1" width="130" customWidth="1"/>
  </cols>
  <sheetData>
    <row r="1" spans="1:1" ht="17" x14ac:dyDescent="0.2">
      <c r="A1" s="1" t="s">
        <v>0</v>
      </c>
    </row>
    <row r="3" spans="1:1" x14ac:dyDescent="0.2">
      <c r="A3" t="s">
        <v>1</v>
      </c>
    </row>
    <row r="4" spans="1:1" x14ac:dyDescent="0.2">
      <c r="A4" t="s">
        <v>2</v>
      </c>
    </row>
    <row r="6" spans="1:1" x14ac:dyDescent="0.2">
      <c r="A6" t="s">
        <v>3</v>
      </c>
    </row>
    <row r="7" spans="1:1" x14ac:dyDescent="0.2">
      <c r="A7" t="s">
        <v>4</v>
      </c>
    </row>
    <row r="8" spans="1:1" x14ac:dyDescent="0.2">
      <c r="A8" t="s">
        <v>5</v>
      </c>
    </row>
    <row r="9" spans="1:1" x14ac:dyDescent="0.2">
      <c r="A9" t="s">
        <v>6</v>
      </c>
    </row>
    <row r="10" spans="1:1" x14ac:dyDescent="0.2">
      <c r="A10" t="s">
        <v>7</v>
      </c>
    </row>
    <row r="11" spans="1:1" x14ac:dyDescent="0.2">
      <c r="A11" t="s">
        <v>8</v>
      </c>
    </row>
    <row r="13" spans="1:1" x14ac:dyDescent="0.2">
      <c r="A13" t="s">
        <v>9</v>
      </c>
    </row>
    <row r="14" spans="1:1" x14ac:dyDescent="0.2">
      <c r="A14" t="s">
        <v>10</v>
      </c>
    </row>
    <row r="15" spans="1:1" x14ac:dyDescent="0.2">
      <c r="A15" t="s">
        <v>11</v>
      </c>
    </row>
    <row r="17" spans="1:1" x14ac:dyDescent="0.2">
      <c r="A17" t="s">
        <v>12</v>
      </c>
    </row>
    <row r="18" spans="1:1" x14ac:dyDescent="0.2">
      <c r="A18" t="s">
        <v>13</v>
      </c>
    </row>
    <row r="19" spans="1:1" x14ac:dyDescent="0.2">
      <c r="A19" t="s">
        <v>14</v>
      </c>
    </row>
    <row r="20" spans="1:1" x14ac:dyDescent="0.2">
      <c r="A20"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7"/>
  <sheetViews>
    <sheetView workbookViewId="0">
      <pane ySplit="2" topLeftCell="A3" activePane="bottomLeft" state="frozen"/>
      <selection pane="bottomLeft"/>
    </sheetView>
  </sheetViews>
  <sheetFormatPr baseColWidth="10" defaultColWidth="8.83203125" defaultRowHeight="15" x14ac:dyDescent="0.2"/>
  <cols>
    <col min="1" max="1" width="34" customWidth="1"/>
    <col min="2" max="2" width="48" customWidth="1"/>
    <col min="3" max="3" width="15" customWidth="1"/>
    <col min="4" max="4" width="8" customWidth="1"/>
    <col min="5" max="5" width="30" customWidth="1"/>
    <col min="6" max="6" width="6" customWidth="1"/>
    <col min="7" max="8" width="11" customWidth="1"/>
    <col min="9" max="9" width="30" customWidth="1"/>
    <col min="10" max="10" width="10" customWidth="1"/>
    <col min="11" max="11" width="14" customWidth="1"/>
    <col min="12" max="12" width="40" customWidth="1"/>
    <col min="13" max="14" width="14" hidden="1" customWidth="1"/>
  </cols>
  <sheetData>
    <row r="1" spans="1:14" x14ac:dyDescent="0.2">
      <c r="A1" s="2" t="s">
        <v>16</v>
      </c>
    </row>
    <row r="2" spans="1:14" ht="32" x14ac:dyDescent="0.2">
      <c r="A2" s="3" t="s">
        <v>17</v>
      </c>
      <c r="B2" s="3" t="s">
        <v>18</v>
      </c>
      <c r="C2" s="3" t="s">
        <v>19</v>
      </c>
      <c r="D2" s="3" t="s">
        <v>20</v>
      </c>
      <c r="E2" s="3" t="s">
        <v>21</v>
      </c>
      <c r="F2" s="3" t="s">
        <v>22</v>
      </c>
      <c r="G2" s="3" t="s">
        <v>23</v>
      </c>
      <c r="H2" s="3" t="s">
        <v>24</v>
      </c>
      <c r="I2" s="3" t="s">
        <v>25</v>
      </c>
      <c r="J2" s="3" t="s">
        <v>26</v>
      </c>
      <c r="K2" s="3" t="s">
        <v>27</v>
      </c>
      <c r="L2" s="3" t="s">
        <v>28</v>
      </c>
      <c r="M2" s="3" t="s">
        <v>29</v>
      </c>
      <c r="N2" s="3" t="s">
        <v>30</v>
      </c>
    </row>
    <row r="3" spans="1:14" ht="32" x14ac:dyDescent="0.2">
      <c r="A3" s="4" t="s">
        <v>31</v>
      </c>
      <c r="B3" s="5" t="s">
        <v>32</v>
      </c>
      <c r="C3" s="4" t="s">
        <v>33</v>
      </c>
      <c r="D3" s="4" t="s">
        <v>34</v>
      </c>
      <c r="E3" s="4" t="s">
        <v>35</v>
      </c>
      <c r="F3" s="4">
        <v>1</v>
      </c>
      <c r="G3" s="6" t="s">
        <v>36</v>
      </c>
      <c r="H3" s="4" t="s">
        <v>37</v>
      </c>
      <c r="I3" s="4"/>
      <c r="J3" s="7" t="s">
        <v>38</v>
      </c>
      <c r="K3" s="8"/>
      <c r="L3" s="9"/>
      <c r="M3" s="4" t="s">
        <v>39</v>
      </c>
      <c r="N3" s="4" t="s">
        <v>40</v>
      </c>
    </row>
    <row r="4" spans="1:14" ht="32" x14ac:dyDescent="0.2">
      <c r="A4" s="4" t="s">
        <v>41</v>
      </c>
      <c r="B4" s="5" t="s">
        <v>42</v>
      </c>
      <c r="C4" s="4" t="s">
        <v>33</v>
      </c>
      <c r="D4" s="4" t="s">
        <v>34</v>
      </c>
      <c r="E4" s="4" t="s">
        <v>35</v>
      </c>
      <c r="F4" s="4">
        <v>1</v>
      </c>
      <c r="G4" s="6" t="s">
        <v>36</v>
      </c>
      <c r="H4" s="4" t="s">
        <v>37</v>
      </c>
      <c r="I4" s="4"/>
      <c r="J4" s="7" t="s">
        <v>38</v>
      </c>
      <c r="K4" s="8"/>
      <c r="L4" s="9"/>
      <c r="M4" s="4" t="s">
        <v>43</v>
      </c>
      <c r="N4" s="4" t="s">
        <v>40</v>
      </c>
    </row>
    <row r="5" spans="1:14" ht="32" x14ac:dyDescent="0.2">
      <c r="A5" s="4" t="s">
        <v>44</v>
      </c>
      <c r="B5" s="5" t="s">
        <v>45</v>
      </c>
      <c r="C5" s="4" t="s">
        <v>33</v>
      </c>
      <c r="D5" s="4" t="s">
        <v>46</v>
      </c>
      <c r="E5" s="4" t="s">
        <v>47</v>
      </c>
      <c r="F5" s="4">
        <v>97</v>
      </c>
      <c r="G5" s="6" t="s">
        <v>48</v>
      </c>
      <c r="H5" s="4" t="s">
        <v>49</v>
      </c>
      <c r="I5" s="4"/>
      <c r="J5" s="7" t="s">
        <v>38</v>
      </c>
      <c r="K5" s="8"/>
      <c r="L5" s="9"/>
      <c r="M5" s="4" t="s">
        <v>50</v>
      </c>
      <c r="N5" s="4" t="s">
        <v>51</v>
      </c>
    </row>
    <row r="6" spans="1:14" ht="32" x14ac:dyDescent="0.2">
      <c r="A6" s="4" t="s">
        <v>44</v>
      </c>
      <c r="B6" s="5" t="s">
        <v>45</v>
      </c>
      <c r="C6" s="4" t="s">
        <v>33</v>
      </c>
      <c r="D6" s="4" t="s">
        <v>52</v>
      </c>
      <c r="E6" s="4" t="s">
        <v>47</v>
      </c>
      <c r="F6" s="4">
        <v>97</v>
      </c>
      <c r="G6" s="6" t="s">
        <v>48</v>
      </c>
      <c r="H6" s="4" t="s">
        <v>49</v>
      </c>
      <c r="I6" s="4"/>
      <c r="J6" s="7" t="s">
        <v>38</v>
      </c>
      <c r="K6" s="8"/>
      <c r="L6" s="9"/>
      <c r="M6" s="4" t="s">
        <v>53</v>
      </c>
      <c r="N6" s="4" t="s">
        <v>51</v>
      </c>
    </row>
    <row r="7" spans="1:14" ht="32" x14ac:dyDescent="0.2">
      <c r="A7" s="4" t="s">
        <v>54</v>
      </c>
      <c r="B7" s="5" t="s">
        <v>55</v>
      </c>
      <c r="C7" s="4" t="s">
        <v>56</v>
      </c>
      <c r="D7" s="4" t="s">
        <v>57</v>
      </c>
      <c r="E7" s="4" t="s">
        <v>58</v>
      </c>
      <c r="F7" s="4">
        <v>20</v>
      </c>
      <c r="G7" s="6" t="s">
        <v>59</v>
      </c>
      <c r="H7" s="4" t="s">
        <v>48</v>
      </c>
      <c r="I7" s="4"/>
      <c r="J7" s="7" t="s">
        <v>38</v>
      </c>
      <c r="K7" s="8"/>
      <c r="L7" s="9"/>
      <c r="M7" s="4" t="s">
        <v>60</v>
      </c>
      <c r="N7" s="4" t="s">
        <v>61</v>
      </c>
    </row>
    <row r="8" spans="1:14" ht="32" x14ac:dyDescent="0.2">
      <c r="A8" s="4" t="s">
        <v>54</v>
      </c>
      <c r="B8" s="5" t="s">
        <v>55</v>
      </c>
      <c r="C8" s="4" t="s">
        <v>56</v>
      </c>
      <c r="D8" s="4" t="s">
        <v>52</v>
      </c>
      <c r="E8" s="4" t="s">
        <v>58</v>
      </c>
      <c r="F8" s="4">
        <v>20</v>
      </c>
      <c r="G8" s="6" t="s">
        <v>48</v>
      </c>
      <c r="H8" s="4" t="s">
        <v>59</v>
      </c>
      <c r="I8" s="4"/>
      <c r="J8" s="7" t="s">
        <v>38</v>
      </c>
      <c r="K8" s="8"/>
      <c r="L8" s="9"/>
      <c r="M8" s="4" t="s">
        <v>62</v>
      </c>
      <c r="N8" s="4" t="s">
        <v>63</v>
      </c>
    </row>
    <row r="9" spans="1:14" ht="16" x14ac:dyDescent="0.2">
      <c r="A9" s="4" t="s">
        <v>64</v>
      </c>
      <c r="B9" s="5" t="s">
        <v>65</v>
      </c>
      <c r="C9" s="4" t="s">
        <v>33</v>
      </c>
      <c r="D9" s="4" t="s">
        <v>66</v>
      </c>
      <c r="E9" s="4" t="s">
        <v>67</v>
      </c>
      <c r="F9" s="4">
        <v>5</v>
      </c>
      <c r="G9" s="6" t="s">
        <v>49</v>
      </c>
      <c r="H9" s="4" t="s">
        <v>48</v>
      </c>
      <c r="I9" s="4"/>
      <c r="J9" s="7" t="s">
        <v>38</v>
      </c>
      <c r="K9" s="8"/>
      <c r="L9" s="9"/>
      <c r="M9" s="4" t="s">
        <v>68</v>
      </c>
      <c r="N9" s="4" t="s">
        <v>69</v>
      </c>
    </row>
    <row r="10" spans="1:14" ht="16" x14ac:dyDescent="0.2">
      <c r="A10" s="4" t="s">
        <v>64</v>
      </c>
      <c r="B10" s="5" t="s">
        <v>65</v>
      </c>
      <c r="C10" s="4" t="s">
        <v>33</v>
      </c>
      <c r="D10" s="4" t="s">
        <v>70</v>
      </c>
      <c r="E10" s="4" t="s">
        <v>67</v>
      </c>
      <c r="F10" s="4">
        <v>5</v>
      </c>
      <c r="G10" s="6" t="s">
        <v>48</v>
      </c>
      <c r="H10" s="4" t="s">
        <v>49</v>
      </c>
      <c r="I10" s="4"/>
      <c r="J10" s="7" t="s">
        <v>38</v>
      </c>
      <c r="K10" s="8"/>
      <c r="L10" s="9"/>
      <c r="M10" s="4" t="s">
        <v>71</v>
      </c>
      <c r="N10" s="4" t="s">
        <v>51</v>
      </c>
    </row>
    <row r="11" spans="1:14" ht="32" x14ac:dyDescent="0.2">
      <c r="A11" s="4" t="s">
        <v>72</v>
      </c>
      <c r="B11" s="5" t="s">
        <v>45</v>
      </c>
      <c r="C11" s="4" t="s">
        <v>33</v>
      </c>
      <c r="D11" s="4" t="s">
        <v>73</v>
      </c>
      <c r="E11" s="4" t="s">
        <v>67</v>
      </c>
      <c r="F11" s="4">
        <v>9</v>
      </c>
      <c r="G11" s="6" t="s">
        <v>49</v>
      </c>
      <c r="H11" s="4" t="s">
        <v>48</v>
      </c>
      <c r="I11" s="4"/>
      <c r="J11" s="7" t="s">
        <v>38</v>
      </c>
      <c r="K11" s="8"/>
      <c r="L11" s="9"/>
      <c r="M11" s="4" t="s">
        <v>74</v>
      </c>
      <c r="N11" s="4" t="s">
        <v>69</v>
      </c>
    </row>
    <row r="12" spans="1:14" ht="16" x14ac:dyDescent="0.2">
      <c r="A12" s="4" t="s">
        <v>75</v>
      </c>
      <c r="B12" s="5" t="s">
        <v>76</v>
      </c>
      <c r="C12" s="4" t="s">
        <v>77</v>
      </c>
      <c r="D12" s="4" t="s">
        <v>78</v>
      </c>
      <c r="E12" s="4" t="s">
        <v>67</v>
      </c>
      <c r="F12" s="4">
        <v>1</v>
      </c>
      <c r="G12" s="6" t="s">
        <v>79</v>
      </c>
      <c r="H12" s="4" t="s">
        <v>80</v>
      </c>
      <c r="I12" s="4"/>
      <c r="J12" s="7" t="s">
        <v>38</v>
      </c>
      <c r="K12" s="8"/>
      <c r="L12" s="9"/>
      <c r="M12" s="4" t="s">
        <v>81</v>
      </c>
      <c r="N12" s="4" t="s">
        <v>82</v>
      </c>
    </row>
    <row r="13" spans="1:14" ht="16" x14ac:dyDescent="0.2">
      <c r="A13" s="4" t="s">
        <v>75</v>
      </c>
      <c r="B13" s="5" t="s">
        <v>76</v>
      </c>
      <c r="C13" s="4" t="s">
        <v>77</v>
      </c>
      <c r="D13" s="4" t="s">
        <v>83</v>
      </c>
      <c r="E13" s="4" t="s">
        <v>67</v>
      </c>
      <c r="F13" s="4">
        <v>1</v>
      </c>
      <c r="G13" s="6" t="s">
        <v>84</v>
      </c>
      <c r="H13" s="4" t="s">
        <v>80</v>
      </c>
      <c r="I13" s="4"/>
      <c r="J13" s="7" t="s">
        <v>38</v>
      </c>
      <c r="K13" s="8"/>
      <c r="L13" s="9"/>
      <c r="M13" s="4" t="s">
        <v>85</v>
      </c>
      <c r="N13" s="4" t="s">
        <v>86</v>
      </c>
    </row>
    <row r="14" spans="1:14" ht="16" x14ac:dyDescent="0.2">
      <c r="A14" s="4" t="s">
        <v>87</v>
      </c>
      <c r="B14" s="5" t="s">
        <v>88</v>
      </c>
      <c r="C14" s="4" t="s">
        <v>33</v>
      </c>
      <c r="D14" s="4" t="s">
        <v>83</v>
      </c>
      <c r="E14" s="4" t="s">
        <v>89</v>
      </c>
      <c r="F14" s="4">
        <v>35</v>
      </c>
      <c r="G14" s="6" t="s">
        <v>49</v>
      </c>
      <c r="H14" s="4" t="s">
        <v>80</v>
      </c>
      <c r="I14" s="4" t="s">
        <v>90</v>
      </c>
      <c r="J14" s="7" t="s">
        <v>38</v>
      </c>
      <c r="K14" s="8"/>
      <c r="L14" s="9"/>
      <c r="M14" s="4" t="s">
        <v>91</v>
      </c>
      <c r="N14" s="4" t="s">
        <v>92</v>
      </c>
    </row>
    <row r="15" spans="1:14" ht="16" x14ac:dyDescent="0.2">
      <c r="A15" s="4" t="s">
        <v>87</v>
      </c>
      <c r="B15" s="5" t="s">
        <v>76</v>
      </c>
      <c r="C15" s="4" t="s">
        <v>77</v>
      </c>
      <c r="D15" s="4" t="s">
        <v>78</v>
      </c>
      <c r="E15" s="4" t="s">
        <v>89</v>
      </c>
      <c r="F15" s="4">
        <v>35</v>
      </c>
      <c r="G15" s="6" t="s">
        <v>93</v>
      </c>
      <c r="H15" s="4" t="s">
        <v>80</v>
      </c>
      <c r="I15" s="4"/>
      <c r="J15" s="7" t="s">
        <v>38</v>
      </c>
      <c r="K15" s="8"/>
      <c r="L15" s="9"/>
      <c r="M15" s="4" t="s">
        <v>94</v>
      </c>
      <c r="N15" s="4" t="s">
        <v>95</v>
      </c>
    </row>
    <row r="16" spans="1:14" ht="16" x14ac:dyDescent="0.2">
      <c r="A16" s="4" t="s">
        <v>87</v>
      </c>
      <c r="B16" s="5" t="s">
        <v>76</v>
      </c>
      <c r="C16" s="4" t="s">
        <v>77</v>
      </c>
      <c r="D16" s="4" t="s">
        <v>83</v>
      </c>
      <c r="E16" s="4" t="s">
        <v>89</v>
      </c>
      <c r="F16" s="4">
        <v>35</v>
      </c>
      <c r="G16" s="6" t="s">
        <v>93</v>
      </c>
      <c r="H16" s="4" t="s">
        <v>80</v>
      </c>
      <c r="I16" s="4"/>
      <c r="J16" s="7" t="s">
        <v>38</v>
      </c>
      <c r="K16" s="8"/>
      <c r="L16" s="9"/>
      <c r="M16" s="4" t="s">
        <v>96</v>
      </c>
      <c r="N16" s="4" t="s">
        <v>95</v>
      </c>
    </row>
    <row r="17" spans="1:14" ht="16" x14ac:dyDescent="0.2">
      <c r="A17" s="4" t="s">
        <v>97</v>
      </c>
      <c r="B17" s="5" t="s">
        <v>88</v>
      </c>
      <c r="C17" s="4" t="s">
        <v>33</v>
      </c>
      <c r="D17" s="4" t="s">
        <v>83</v>
      </c>
      <c r="E17" s="4" t="s">
        <v>89</v>
      </c>
      <c r="F17" s="4">
        <v>36</v>
      </c>
      <c r="G17" s="6" t="s">
        <v>49</v>
      </c>
      <c r="H17" s="4" t="s">
        <v>80</v>
      </c>
      <c r="I17" s="4" t="s">
        <v>98</v>
      </c>
      <c r="J17" s="7" t="s">
        <v>38</v>
      </c>
      <c r="K17" s="8"/>
      <c r="L17" s="9"/>
      <c r="M17" s="4" t="s">
        <v>99</v>
      </c>
      <c r="N17" s="4" t="s">
        <v>92</v>
      </c>
    </row>
  </sheetData>
  <autoFilter ref="A2:L17" xr:uid="{00000000-0009-0000-0000-000001000000}"/>
  <conditionalFormatting sqref="A3:L17">
    <cfRule type="expression" dxfId="6" priority="1">
      <formula>LEN($K3)&gt;0</formula>
    </cfRule>
    <cfRule type="expression" dxfId="5" priority="2">
      <formula>$J3="ja"</formula>
    </cfRule>
  </conditionalFormatting>
  <dataValidations count="1">
    <dataValidation type="list" allowBlank="1" sqref="J3:J17" xr:uid="{00000000-0002-0000-0100-000000000000}">
      <formula1>"ja"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
  <sheetViews>
    <sheetView workbookViewId="0">
      <pane ySplit="2" topLeftCell="A3" activePane="bottomLeft" state="frozen"/>
      <selection pane="bottomLeft"/>
    </sheetView>
  </sheetViews>
  <sheetFormatPr baseColWidth="10" defaultColWidth="8.83203125" defaultRowHeight="15" x14ac:dyDescent="0.2"/>
  <cols>
    <col min="1" max="1" width="34" customWidth="1"/>
    <col min="2" max="2" width="30" customWidth="1"/>
    <col min="3" max="3" width="6" customWidth="1"/>
    <col min="4" max="4" width="10" customWidth="1"/>
    <col min="5" max="5" width="40" customWidth="1"/>
    <col min="6" max="7" width="14" hidden="1" customWidth="1"/>
  </cols>
  <sheetData>
    <row r="1" spans="1:7" x14ac:dyDescent="0.2">
      <c r="A1" s="2" t="s">
        <v>100</v>
      </c>
    </row>
    <row r="2" spans="1:7" ht="16" x14ac:dyDescent="0.2">
      <c r="A2" s="3" t="s">
        <v>101</v>
      </c>
      <c r="B2" s="3" t="s">
        <v>21</v>
      </c>
      <c r="C2" s="3" t="s">
        <v>22</v>
      </c>
      <c r="D2" s="3" t="s">
        <v>26</v>
      </c>
      <c r="E2" s="3" t="s">
        <v>28</v>
      </c>
      <c r="F2" s="3" t="s">
        <v>29</v>
      </c>
      <c r="G2" s="3" t="s">
        <v>30</v>
      </c>
    </row>
    <row r="3" spans="1:7" x14ac:dyDescent="0.2">
      <c r="A3" s="4" t="s">
        <v>102</v>
      </c>
      <c r="B3" s="4" t="s">
        <v>35</v>
      </c>
      <c r="C3" s="4">
        <v>1</v>
      </c>
      <c r="D3" s="7" t="s">
        <v>38</v>
      </c>
      <c r="E3" s="9"/>
      <c r="F3" s="4" t="s">
        <v>103</v>
      </c>
      <c r="G3" s="4" t="s">
        <v>104</v>
      </c>
    </row>
    <row r="4" spans="1:7" x14ac:dyDescent="0.2">
      <c r="A4" s="4" t="s">
        <v>105</v>
      </c>
      <c r="B4" s="4" t="s">
        <v>47</v>
      </c>
      <c r="C4" s="4">
        <v>99</v>
      </c>
      <c r="D4" s="7" t="s">
        <v>38</v>
      </c>
      <c r="E4" s="9"/>
      <c r="F4" s="4" t="s">
        <v>106</v>
      </c>
      <c r="G4" s="4" t="s">
        <v>107</v>
      </c>
    </row>
  </sheetData>
  <autoFilter ref="A2:E4" xr:uid="{00000000-0009-0000-0000-000002000000}"/>
  <conditionalFormatting sqref="A3:E4">
    <cfRule type="expression" dxfId="4" priority="1">
      <formula>$D3="ja"</formula>
    </cfRule>
  </conditionalFormatting>
  <dataValidations count="1">
    <dataValidation type="list" allowBlank="1" sqref="D3:D4" xr:uid="{00000000-0002-0000-0200-000000000000}">
      <formula1>"ja"</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
  <sheetViews>
    <sheetView workbookViewId="0">
      <pane ySplit="2" topLeftCell="A3" activePane="bottomLeft" state="frozen"/>
      <selection pane="bottomLeft"/>
    </sheetView>
  </sheetViews>
  <sheetFormatPr baseColWidth="10" defaultColWidth="8.83203125" defaultRowHeight="15" x14ac:dyDescent="0.2"/>
  <cols>
    <col min="1" max="1" width="11" customWidth="1"/>
    <col min="2" max="2" width="120" customWidth="1"/>
    <col min="3" max="3" width="50" customWidth="1"/>
    <col min="4" max="4" width="40" customWidth="1"/>
    <col min="5" max="5" width="10" customWidth="1"/>
    <col min="6" max="6" width="40" customWidth="1"/>
    <col min="7" max="8" width="14" hidden="1" customWidth="1"/>
  </cols>
  <sheetData>
    <row r="1" spans="1:8" x14ac:dyDescent="0.2">
      <c r="A1" s="2" t="s">
        <v>108</v>
      </c>
    </row>
    <row r="2" spans="1:8" ht="16" x14ac:dyDescent="0.2">
      <c r="A2" s="3" t="s">
        <v>109</v>
      </c>
      <c r="B2" s="3" t="s">
        <v>110</v>
      </c>
      <c r="C2" s="3" t="s">
        <v>111</v>
      </c>
      <c r="D2" s="3" t="s">
        <v>112</v>
      </c>
      <c r="E2" s="3" t="s">
        <v>26</v>
      </c>
      <c r="F2" s="3" t="s">
        <v>28</v>
      </c>
      <c r="G2" s="3" t="s">
        <v>29</v>
      </c>
      <c r="H2" s="3" t="s">
        <v>30</v>
      </c>
    </row>
    <row r="3" spans="1:8" ht="16" x14ac:dyDescent="0.2">
      <c r="A3" s="4" t="s">
        <v>102</v>
      </c>
      <c r="B3" s="5" t="s">
        <v>113</v>
      </c>
      <c r="C3" s="5" t="s">
        <v>114</v>
      </c>
      <c r="D3" s="5" t="s">
        <v>115</v>
      </c>
      <c r="E3" s="7" t="s">
        <v>38</v>
      </c>
      <c r="F3" s="9"/>
      <c r="G3" s="4" t="s">
        <v>116</v>
      </c>
      <c r="H3" s="4" t="s">
        <v>117</v>
      </c>
    </row>
    <row r="4" spans="1:8" ht="16" x14ac:dyDescent="0.2">
      <c r="A4" s="4" t="s">
        <v>118</v>
      </c>
      <c r="B4" s="5" t="s">
        <v>119</v>
      </c>
      <c r="C4" s="5" t="s">
        <v>120</v>
      </c>
      <c r="D4" s="5" t="s">
        <v>121</v>
      </c>
      <c r="E4" s="7" t="s">
        <v>38</v>
      </c>
      <c r="F4" s="9"/>
      <c r="G4" s="4" t="s">
        <v>122</v>
      </c>
      <c r="H4" s="4" t="s">
        <v>123</v>
      </c>
    </row>
    <row r="5" spans="1:8" ht="16" x14ac:dyDescent="0.2">
      <c r="A5" s="4" t="s">
        <v>124</v>
      </c>
      <c r="B5" s="5" t="s">
        <v>125</v>
      </c>
      <c r="C5" s="5" t="s">
        <v>126</v>
      </c>
      <c r="D5" s="5" t="s">
        <v>127</v>
      </c>
      <c r="E5" s="7" t="s">
        <v>38</v>
      </c>
      <c r="F5" s="9"/>
      <c r="G5" s="4" t="s">
        <v>128</v>
      </c>
      <c r="H5" s="4" t="s">
        <v>129</v>
      </c>
    </row>
    <row r="6" spans="1:8" ht="16" x14ac:dyDescent="0.2">
      <c r="A6" s="4" t="s">
        <v>130</v>
      </c>
      <c r="B6" s="5" t="s">
        <v>113</v>
      </c>
      <c r="C6" s="5" t="s">
        <v>131</v>
      </c>
      <c r="D6" s="5" t="s">
        <v>127</v>
      </c>
      <c r="E6" s="7" t="s">
        <v>38</v>
      </c>
      <c r="F6" s="9"/>
      <c r="G6" s="4" t="s">
        <v>132</v>
      </c>
      <c r="H6" s="4" t="s">
        <v>117</v>
      </c>
    </row>
    <row r="7" spans="1:8" ht="16" x14ac:dyDescent="0.2">
      <c r="A7" s="4" t="s">
        <v>133</v>
      </c>
      <c r="B7" s="5" t="s">
        <v>125</v>
      </c>
      <c r="C7" s="5" t="s">
        <v>134</v>
      </c>
      <c r="D7" s="5" t="s">
        <v>121</v>
      </c>
      <c r="E7" s="7" t="s">
        <v>38</v>
      </c>
      <c r="F7" s="9"/>
      <c r="G7" s="4" t="s">
        <v>135</v>
      </c>
      <c r="H7" s="4" t="s">
        <v>129</v>
      </c>
    </row>
    <row r="8" spans="1:8" ht="16" x14ac:dyDescent="0.2">
      <c r="A8" s="4" t="s">
        <v>136</v>
      </c>
      <c r="B8" s="5" t="s">
        <v>113</v>
      </c>
      <c r="C8" s="5" t="s">
        <v>137</v>
      </c>
      <c r="D8" s="5" t="s">
        <v>127</v>
      </c>
      <c r="E8" s="7" t="s">
        <v>38</v>
      </c>
      <c r="F8" s="9"/>
      <c r="G8" s="4" t="s">
        <v>138</v>
      </c>
      <c r="H8" s="4" t="s">
        <v>117</v>
      </c>
    </row>
  </sheetData>
  <autoFilter ref="A2:F8" xr:uid="{00000000-0009-0000-0000-000003000000}"/>
  <conditionalFormatting sqref="A3:F8">
    <cfRule type="expression" dxfId="3" priority="1">
      <formula>$E3="ja"</formula>
    </cfRule>
  </conditionalFormatting>
  <dataValidations count="1">
    <dataValidation type="list" allowBlank="1" sqref="E3:E8" xr:uid="{00000000-0002-0000-0300-000000000000}">
      <formula1>"ja"</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0"/>
  <sheetViews>
    <sheetView workbookViewId="0">
      <pane ySplit="2" topLeftCell="A3" activePane="bottomLeft" state="frozen"/>
      <selection pane="bottomLeft"/>
    </sheetView>
  </sheetViews>
  <sheetFormatPr baseColWidth="10" defaultColWidth="8.83203125" defaultRowHeight="15" x14ac:dyDescent="0.2"/>
  <cols>
    <col min="1" max="1" width="9" customWidth="1"/>
    <col min="2" max="2" width="14" customWidth="1"/>
    <col min="3" max="3" width="70" customWidth="1"/>
    <col min="4" max="4" width="26" customWidth="1"/>
    <col min="5" max="5" width="15" customWidth="1"/>
    <col min="6" max="6" width="60" customWidth="1"/>
    <col min="7" max="7" width="30" customWidth="1"/>
    <col min="8" max="8" width="8" customWidth="1"/>
    <col min="9" max="9" width="10" customWidth="1"/>
    <col min="10" max="10" width="40" customWidth="1"/>
    <col min="11" max="12" width="14" hidden="1" customWidth="1"/>
  </cols>
  <sheetData>
    <row r="1" spans="1:12" x14ac:dyDescent="0.2">
      <c r="A1" s="2" t="s">
        <v>139</v>
      </c>
    </row>
    <row r="2" spans="1:12" ht="32" x14ac:dyDescent="0.2">
      <c r="A2" s="3" t="s">
        <v>140</v>
      </c>
      <c r="B2" s="3" t="s">
        <v>141</v>
      </c>
      <c r="C2" s="3" t="s">
        <v>142</v>
      </c>
      <c r="D2" s="3" t="s">
        <v>143</v>
      </c>
      <c r="E2" s="3" t="s">
        <v>19</v>
      </c>
      <c r="F2" s="3" t="s">
        <v>144</v>
      </c>
      <c r="G2" s="3" t="s">
        <v>145</v>
      </c>
      <c r="H2" s="3" t="s">
        <v>146</v>
      </c>
      <c r="I2" s="3" t="s">
        <v>26</v>
      </c>
      <c r="J2" s="3" t="s">
        <v>28</v>
      </c>
      <c r="K2" s="3" t="s">
        <v>29</v>
      </c>
      <c r="L2" s="3" t="s">
        <v>30</v>
      </c>
    </row>
    <row r="3" spans="1:12" ht="32" x14ac:dyDescent="0.2">
      <c r="A3" s="4" t="s">
        <v>147</v>
      </c>
      <c r="B3" s="4" t="s">
        <v>148</v>
      </c>
      <c r="C3" s="5" t="s">
        <v>149</v>
      </c>
      <c r="D3" s="4" t="s">
        <v>150</v>
      </c>
      <c r="E3" s="4" t="s">
        <v>33</v>
      </c>
      <c r="F3" s="5" t="s">
        <v>151</v>
      </c>
      <c r="G3" s="4" t="s">
        <v>152</v>
      </c>
      <c r="H3" s="4">
        <v>11</v>
      </c>
      <c r="I3" s="7" t="s">
        <v>38</v>
      </c>
      <c r="J3" s="9"/>
      <c r="K3" s="4" t="s">
        <v>153</v>
      </c>
      <c r="L3" s="4" t="s">
        <v>154</v>
      </c>
    </row>
    <row r="4" spans="1:12" ht="16" x14ac:dyDescent="0.2">
      <c r="A4" s="4" t="s">
        <v>147</v>
      </c>
      <c r="B4" s="4" t="s">
        <v>148</v>
      </c>
      <c r="C4" s="5" t="s">
        <v>155</v>
      </c>
      <c r="D4" s="4" t="s">
        <v>156</v>
      </c>
      <c r="E4" s="4" t="s">
        <v>33</v>
      </c>
      <c r="F4" s="5" t="s">
        <v>157</v>
      </c>
      <c r="G4" s="4" t="s">
        <v>152</v>
      </c>
      <c r="H4" s="4">
        <v>11</v>
      </c>
      <c r="I4" s="7" t="s">
        <v>38</v>
      </c>
      <c r="J4" s="9"/>
      <c r="K4" s="4" t="s">
        <v>158</v>
      </c>
      <c r="L4" s="4" t="s">
        <v>159</v>
      </c>
    </row>
    <row r="5" spans="1:12" ht="32" x14ac:dyDescent="0.2">
      <c r="A5" s="4" t="s">
        <v>147</v>
      </c>
      <c r="B5" s="4" t="s">
        <v>160</v>
      </c>
      <c r="C5" s="5" t="s">
        <v>161</v>
      </c>
      <c r="D5" s="4" t="s">
        <v>162</v>
      </c>
      <c r="E5" s="4" t="s">
        <v>163</v>
      </c>
      <c r="F5" s="5" t="s">
        <v>164</v>
      </c>
      <c r="G5" s="4" t="s">
        <v>102</v>
      </c>
      <c r="H5" s="4">
        <v>2</v>
      </c>
      <c r="I5" s="7" t="s">
        <v>38</v>
      </c>
      <c r="J5" s="9"/>
      <c r="K5" s="4" t="s">
        <v>165</v>
      </c>
      <c r="L5" s="4" t="s">
        <v>166</v>
      </c>
    </row>
    <row r="6" spans="1:12" ht="16" x14ac:dyDescent="0.2">
      <c r="A6" s="4" t="s">
        <v>167</v>
      </c>
      <c r="B6" s="4" t="s">
        <v>160</v>
      </c>
      <c r="C6" s="5" t="s">
        <v>168</v>
      </c>
      <c r="D6" s="4" t="s">
        <v>156</v>
      </c>
      <c r="E6" s="4" t="s">
        <v>33</v>
      </c>
      <c r="F6" s="5" t="s">
        <v>157</v>
      </c>
      <c r="G6" s="4" t="s">
        <v>169</v>
      </c>
      <c r="H6" s="4">
        <v>4</v>
      </c>
      <c r="I6" s="7" t="s">
        <v>38</v>
      </c>
      <c r="J6" s="9"/>
      <c r="K6" s="4" t="s">
        <v>170</v>
      </c>
      <c r="L6" s="4" t="s">
        <v>159</v>
      </c>
    </row>
    <row r="7" spans="1:12" ht="16" x14ac:dyDescent="0.2">
      <c r="A7" s="4" t="s">
        <v>147</v>
      </c>
      <c r="B7" s="4" t="s">
        <v>171</v>
      </c>
      <c r="C7" s="5" t="s">
        <v>172</v>
      </c>
      <c r="D7" s="4" t="s">
        <v>173</v>
      </c>
      <c r="E7" s="4" t="s">
        <v>33</v>
      </c>
      <c r="F7" s="5" t="s">
        <v>172</v>
      </c>
      <c r="G7" s="4" t="s">
        <v>152</v>
      </c>
      <c r="H7" s="4">
        <v>11</v>
      </c>
      <c r="I7" s="7" t="s">
        <v>38</v>
      </c>
      <c r="J7" s="9"/>
      <c r="K7" s="4" t="s">
        <v>174</v>
      </c>
      <c r="L7" s="4" t="s">
        <v>175</v>
      </c>
    </row>
    <row r="8" spans="1:12" ht="16" x14ac:dyDescent="0.2">
      <c r="A8" s="4" t="s">
        <v>147</v>
      </c>
      <c r="B8" s="4" t="s">
        <v>171</v>
      </c>
      <c r="C8" s="5" t="s">
        <v>176</v>
      </c>
      <c r="D8" s="4" t="s">
        <v>177</v>
      </c>
      <c r="E8" s="4" t="s">
        <v>33</v>
      </c>
      <c r="F8" s="5" t="s">
        <v>178</v>
      </c>
      <c r="G8" s="4" t="s">
        <v>152</v>
      </c>
      <c r="H8" s="4">
        <v>11</v>
      </c>
      <c r="I8" s="7" t="s">
        <v>38</v>
      </c>
      <c r="J8" s="9"/>
      <c r="K8" s="4" t="s">
        <v>179</v>
      </c>
      <c r="L8" s="4" t="s">
        <v>180</v>
      </c>
    </row>
    <row r="9" spans="1:12" ht="32" x14ac:dyDescent="0.2">
      <c r="A9" s="4" t="s">
        <v>167</v>
      </c>
      <c r="B9" s="4" t="s">
        <v>171</v>
      </c>
      <c r="C9" s="5" t="s">
        <v>181</v>
      </c>
      <c r="D9" s="4" t="s">
        <v>182</v>
      </c>
      <c r="E9" s="4" t="s">
        <v>33</v>
      </c>
      <c r="F9" s="5" t="s">
        <v>42</v>
      </c>
      <c r="G9" s="4" t="s">
        <v>183</v>
      </c>
      <c r="H9" s="4">
        <v>4</v>
      </c>
      <c r="I9" s="7" t="s">
        <v>38</v>
      </c>
      <c r="J9" s="9"/>
      <c r="K9" s="4" t="s">
        <v>184</v>
      </c>
      <c r="L9" s="4" t="s">
        <v>185</v>
      </c>
    </row>
    <row r="10" spans="1:12" ht="16" x14ac:dyDescent="0.2">
      <c r="A10" s="4" t="s">
        <v>167</v>
      </c>
      <c r="B10" s="4" t="s">
        <v>171</v>
      </c>
      <c r="C10" s="5" t="s">
        <v>186</v>
      </c>
      <c r="D10" s="4" t="s">
        <v>177</v>
      </c>
      <c r="E10" s="4" t="s">
        <v>33</v>
      </c>
      <c r="F10" s="5" t="s">
        <v>178</v>
      </c>
      <c r="G10" s="4" t="s">
        <v>152</v>
      </c>
      <c r="H10" s="4">
        <v>11</v>
      </c>
      <c r="I10" s="7" t="s">
        <v>38</v>
      </c>
      <c r="J10" s="9"/>
      <c r="K10" s="4" t="s">
        <v>187</v>
      </c>
      <c r="L10" s="4" t="s">
        <v>180</v>
      </c>
    </row>
    <row r="11" spans="1:12" ht="16" x14ac:dyDescent="0.2">
      <c r="A11" s="4" t="s">
        <v>167</v>
      </c>
      <c r="B11" s="4" t="s">
        <v>171</v>
      </c>
      <c r="C11" s="5" t="s">
        <v>155</v>
      </c>
      <c r="D11" s="4" t="s">
        <v>156</v>
      </c>
      <c r="E11" s="4" t="s">
        <v>33</v>
      </c>
      <c r="F11" s="5" t="s">
        <v>157</v>
      </c>
      <c r="G11" s="4" t="s">
        <v>169</v>
      </c>
      <c r="H11" s="4">
        <v>4</v>
      </c>
      <c r="I11" s="7" t="s">
        <v>38</v>
      </c>
      <c r="J11" s="9"/>
      <c r="K11" s="4" t="s">
        <v>188</v>
      </c>
      <c r="L11" s="4" t="s">
        <v>159</v>
      </c>
    </row>
    <row r="12" spans="1:12" ht="16" x14ac:dyDescent="0.2">
      <c r="A12" s="4" t="s">
        <v>147</v>
      </c>
      <c r="B12" s="4" t="s">
        <v>171</v>
      </c>
      <c r="C12" s="5" t="s">
        <v>189</v>
      </c>
      <c r="D12" s="4" t="s">
        <v>190</v>
      </c>
      <c r="E12" s="4" t="s">
        <v>191</v>
      </c>
      <c r="F12" s="5" t="s">
        <v>192</v>
      </c>
      <c r="G12" s="4" t="s">
        <v>118</v>
      </c>
      <c r="H12" s="4">
        <v>1</v>
      </c>
      <c r="I12" s="7" t="s">
        <v>38</v>
      </c>
      <c r="J12" s="9"/>
      <c r="K12" s="4" t="s">
        <v>193</v>
      </c>
      <c r="L12" s="4" t="s">
        <v>194</v>
      </c>
    </row>
    <row r="13" spans="1:12" ht="32" x14ac:dyDescent="0.2">
      <c r="A13" s="4" t="s">
        <v>167</v>
      </c>
      <c r="B13" s="4" t="s">
        <v>160</v>
      </c>
      <c r="C13" s="5" t="s">
        <v>195</v>
      </c>
      <c r="D13" s="4" t="s">
        <v>182</v>
      </c>
      <c r="E13" s="4" t="s">
        <v>33</v>
      </c>
      <c r="F13" s="5" t="s">
        <v>42</v>
      </c>
      <c r="G13" s="4" t="s">
        <v>196</v>
      </c>
      <c r="H13" s="4">
        <v>9</v>
      </c>
      <c r="I13" s="7" t="s">
        <v>38</v>
      </c>
      <c r="J13" s="9"/>
      <c r="K13" s="4" t="s">
        <v>197</v>
      </c>
      <c r="L13" s="4" t="s">
        <v>185</v>
      </c>
    </row>
    <row r="14" spans="1:12" ht="32" x14ac:dyDescent="0.2">
      <c r="A14" s="4" t="s">
        <v>167</v>
      </c>
      <c r="B14" s="4" t="s">
        <v>160</v>
      </c>
      <c r="C14" s="5" t="s">
        <v>198</v>
      </c>
      <c r="D14" s="4" t="s">
        <v>150</v>
      </c>
      <c r="E14" s="4" t="s">
        <v>33</v>
      </c>
      <c r="F14" s="5" t="s">
        <v>151</v>
      </c>
      <c r="G14" s="4" t="s">
        <v>199</v>
      </c>
      <c r="H14" s="4">
        <v>7</v>
      </c>
      <c r="I14" s="7" t="s">
        <v>38</v>
      </c>
      <c r="J14" s="9"/>
      <c r="K14" s="4" t="s">
        <v>200</v>
      </c>
      <c r="L14" s="4" t="s">
        <v>154</v>
      </c>
    </row>
    <row r="15" spans="1:12" ht="32" x14ac:dyDescent="0.2">
      <c r="A15" s="4" t="s">
        <v>167</v>
      </c>
      <c r="B15" s="4" t="s">
        <v>148</v>
      </c>
      <c r="C15" s="5" t="s">
        <v>201</v>
      </c>
      <c r="D15" s="4" t="s">
        <v>150</v>
      </c>
      <c r="E15" s="4" t="s">
        <v>33</v>
      </c>
      <c r="F15" s="5" t="s">
        <v>151</v>
      </c>
      <c r="G15" s="4" t="s">
        <v>133</v>
      </c>
      <c r="H15" s="4">
        <v>7</v>
      </c>
      <c r="I15" s="7" t="s">
        <v>38</v>
      </c>
      <c r="J15" s="9"/>
      <c r="K15" s="4" t="s">
        <v>202</v>
      </c>
      <c r="L15" s="4" t="s">
        <v>154</v>
      </c>
    </row>
    <row r="16" spans="1:12" ht="16" x14ac:dyDescent="0.2">
      <c r="A16" s="4" t="s">
        <v>167</v>
      </c>
      <c r="B16" s="4" t="s">
        <v>171</v>
      </c>
      <c r="C16" s="5" t="s">
        <v>203</v>
      </c>
      <c r="D16" s="4" t="s">
        <v>190</v>
      </c>
      <c r="E16" s="4" t="s">
        <v>191</v>
      </c>
      <c r="F16" s="5" t="s">
        <v>192</v>
      </c>
      <c r="G16" s="4" t="s">
        <v>133</v>
      </c>
      <c r="H16" s="4">
        <v>1</v>
      </c>
      <c r="I16" s="7" t="s">
        <v>38</v>
      </c>
      <c r="J16" s="9"/>
      <c r="K16" s="4" t="s">
        <v>204</v>
      </c>
      <c r="L16" s="4" t="s">
        <v>194</v>
      </c>
    </row>
    <row r="17" spans="1:12" ht="32" x14ac:dyDescent="0.2">
      <c r="A17" s="4" t="s">
        <v>167</v>
      </c>
      <c r="B17" s="4" t="s">
        <v>171</v>
      </c>
      <c r="C17" s="5" t="s">
        <v>205</v>
      </c>
      <c r="D17" s="4" t="s">
        <v>206</v>
      </c>
      <c r="E17" s="4" t="s">
        <v>191</v>
      </c>
      <c r="F17" s="5" t="s">
        <v>207</v>
      </c>
      <c r="G17" s="4" t="s">
        <v>133</v>
      </c>
      <c r="H17" s="4">
        <v>1</v>
      </c>
      <c r="I17" s="7" t="s">
        <v>38</v>
      </c>
      <c r="J17" s="9"/>
      <c r="K17" s="4" t="s">
        <v>208</v>
      </c>
      <c r="L17" s="4" t="s">
        <v>209</v>
      </c>
    </row>
    <row r="18" spans="1:12" ht="32" x14ac:dyDescent="0.2">
      <c r="A18" s="4" t="s">
        <v>167</v>
      </c>
      <c r="B18" s="4" t="s">
        <v>171</v>
      </c>
      <c r="C18" s="5" t="s">
        <v>210</v>
      </c>
      <c r="D18" s="4" t="s">
        <v>211</v>
      </c>
      <c r="E18" s="4" t="s">
        <v>191</v>
      </c>
      <c r="F18" s="5" t="s">
        <v>212</v>
      </c>
      <c r="G18" s="4" t="s">
        <v>133</v>
      </c>
      <c r="H18" s="4">
        <v>1</v>
      </c>
      <c r="I18" s="7" t="s">
        <v>38</v>
      </c>
      <c r="J18" s="9"/>
      <c r="K18" s="4" t="s">
        <v>213</v>
      </c>
      <c r="L18" s="4" t="s">
        <v>214</v>
      </c>
    </row>
    <row r="19" spans="1:12" ht="16" x14ac:dyDescent="0.2">
      <c r="A19" s="4" t="s">
        <v>167</v>
      </c>
      <c r="B19" s="4" t="s">
        <v>171</v>
      </c>
      <c r="C19" s="5" t="s">
        <v>215</v>
      </c>
      <c r="D19" s="4" t="s">
        <v>216</v>
      </c>
      <c r="E19" s="4" t="s">
        <v>191</v>
      </c>
      <c r="F19" s="5" t="s">
        <v>217</v>
      </c>
      <c r="G19" s="4" t="s">
        <v>133</v>
      </c>
      <c r="H19" s="4">
        <v>1</v>
      </c>
      <c r="I19" s="7" t="s">
        <v>38</v>
      </c>
      <c r="J19" s="9"/>
      <c r="K19" s="4" t="s">
        <v>218</v>
      </c>
      <c r="L19" s="4" t="s">
        <v>219</v>
      </c>
    </row>
    <row r="20" spans="1:12" ht="32" x14ac:dyDescent="0.2">
      <c r="A20" s="4" t="s">
        <v>167</v>
      </c>
      <c r="B20" s="4" t="s">
        <v>171</v>
      </c>
      <c r="C20" s="5" t="s">
        <v>220</v>
      </c>
      <c r="D20" s="4" t="s">
        <v>221</v>
      </c>
      <c r="E20" s="4" t="s">
        <v>191</v>
      </c>
      <c r="F20" s="5" t="s">
        <v>222</v>
      </c>
      <c r="G20" s="4" t="s">
        <v>133</v>
      </c>
      <c r="H20" s="4">
        <v>1</v>
      </c>
      <c r="I20" s="7" t="s">
        <v>38</v>
      </c>
      <c r="J20" s="9"/>
      <c r="K20" s="4" t="s">
        <v>223</v>
      </c>
      <c r="L20" s="4" t="s">
        <v>224</v>
      </c>
    </row>
    <row r="21" spans="1:12" ht="32" x14ac:dyDescent="0.2">
      <c r="A21" s="4" t="s">
        <v>147</v>
      </c>
      <c r="B21" s="4" t="s">
        <v>171</v>
      </c>
      <c r="C21" s="5" t="s">
        <v>225</v>
      </c>
      <c r="D21" s="4" t="s">
        <v>226</v>
      </c>
      <c r="E21" s="4" t="s">
        <v>33</v>
      </c>
      <c r="F21" s="5" t="s">
        <v>227</v>
      </c>
      <c r="G21" s="4" t="s">
        <v>133</v>
      </c>
      <c r="H21" s="4">
        <v>1</v>
      </c>
      <c r="I21" s="7" t="s">
        <v>38</v>
      </c>
      <c r="J21" s="9"/>
      <c r="K21" s="4" t="s">
        <v>228</v>
      </c>
      <c r="L21" s="4" t="s">
        <v>229</v>
      </c>
    </row>
    <row r="22" spans="1:12" ht="32" x14ac:dyDescent="0.2">
      <c r="A22" s="4" t="s">
        <v>147</v>
      </c>
      <c r="B22" s="4" t="s">
        <v>160</v>
      </c>
      <c r="C22" s="5" t="s">
        <v>42</v>
      </c>
      <c r="D22" s="4" t="s">
        <v>182</v>
      </c>
      <c r="E22" s="4" t="s">
        <v>33</v>
      </c>
      <c r="F22" s="5" t="s">
        <v>42</v>
      </c>
      <c r="G22" s="4" t="s">
        <v>230</v>
      </c>
      <c r="H22" s="4">
        <v>4</v>
      </c>
      <c r="I22" s="7" t="s">
        <v>38</v>
      </c>
      <c r="J22" s="9"/>
      <c r="K22" s="4" t="s">
        <v>231</v>
      </c>
      <c r="L22" s="4" t="s">
        <v>185</v>
      </c>
    </row>
    <row r="23" spans="1:12" ht="16" x14ac:dyDescent="0.2">
      <c r="A23" s="4" t="s">
        <v>147</v>
      </c>
      <c r="B23" s="4" t="s">
        <v>160</v>
      </c>
      <c r="C23" s="5" t="s">
        <v>232</v>
      </c>
      <c r="D23" s="4" t="s">
        <v>233</v>
      </c>
      <c r="E23" s="4" t="s">
        <v>33</v>
      </c>
      <c r="F23" s="5" t="s">
        <v>232</v>
      </c>
      <c r="G23" s="4" t="s">
        <v>230</v>
      </c>
      <c r="H23" s="4">
        <v>4</v>
      </c>
      <c r="I23" s="7" t="s">
        <v>38</v>
      </c>
      <c r="J23" s="9"/>
      <c r="K23" s="4" t="s">
        <v>234</v>
      </c>
      <c r="L23" s="4" t="s">
        <v>235</v>
      </c>
    </row>
    <row r="24" spans="1:12" ht="32" x14ac:dyDescent="0.2">
      <c r="A24" s="4" t="s">
        <v>147</v>
      </c>
      <c r="B24" s="4" t="s">
        <v>160</v>
      </c>
      <c r="C24" s="5" t="s">
        <v>236</v>
      </c>
      <c r="D24" s="4" t="s">
        <v>237</v>
      </c>
      <c r="E24" s="4" t="s">
        <v>77</v>
      </c>
      <c r="F24" s="5" t="s">
        <v>238</v>
      </c>
      <c r="G24" s="4" t="s">
        <v>230</v>
      </c>
      <c r="H24" s="4">
        <v>1</v>
      </c>
      <c r="I24" s="7" t="s">
        <v>38</v>
      </c>
      <c r="J24" s="9"/>
      <c r="K24" s="4" t="s">
        <v>239</v>
      </c>
      <c r="L24" s="4" t="s">
        <v>240</v>
      </c>
    </row>
    <row r="25" spans="1:12" ht="16" x14ac:dyDescent="0.2">
      <c r="A25" s="4" t="s">
        <v>167</v>
      </c>
      <c r="B25" s="4" t="s">
        <v>160</v>
      </c>
      <c r="C25" s="5" t="s">
        <v>241</v>
      </c>
      <c r="D25" s="4" t="s">
        <v>242</v>
      </c>
      <c r="E25" s="4" t="s">
        <v>33</v>
      </c>
      <c r="F25" s="5" t="s">
        <v>243</v>
      </c>
      <c r="G25" s="4" t="s">
        <v>230</v>
      </c>
      <c r="H25" s="4">
        <v>4</v>
      </c>
      <c r="I25" s="7" t="s">
        <v>38</v>
      </c>
      <c r="J25" s="9"/>
      <c r="K25" s="4" t="s">
        <v>244</v>
      </c>
      <c r="L25" s="4" t="s">
        <v>245</v>
      </c>
    </row>
    <row r="26" spans="1:12" ht="16" x14ac:dyDescent="0.2">
      <c r="A26" s="4" t="s">
        <v>167</v>
      </c>
      <c r="B26" s="4" t="s">
        <v>160</v>
      </c>
      <c r="C26" s="5" t="s">
        <v>246</v>
      </c>
      <c r="D26" s="4" t="s">
        <v>247</v>
      </c>
      <c r="E26" s="4" t="s">
        <v>33</v>
      </c>
      <c r="F26" s="5" t="s">
        <v>248</v>
      </c>
      <c r="G26" s="4" t="s">
        <v>230</v>
      </c>
      <c r="H26" s="4">
        <v>4</v>
      </c>
      <c r="I26" s="7" t="s">
        <v>38</v>
      </c>
      <c r="J26" s="9"/>
      <c r="K26" s="4" t="s">
        <v>249</v>
      </c>
      <c r="L26" s="4" t="s">
        <v>250</v>
      </c>
    </row>
    <row r="27" spans="1:12" ht="16" x14ac:dyDescent="0.2">
      <c r="A27" s="4" t="s">
        <v>167</v>
      </c>
      <c r="B27" s="4" t="s">
        <v>160</v>
      </c>
      <c r="C27" s="5" t="s">
        <v>251</v>
      </c>
      <c r="D27" s="4" t="s">
        <v>252</v>
      </c>
      <c r="E27" s="4" t="s">
        <v>77</v>
      </c>
      <c r="F27" s="5" t="s">
        <v>253</v>
      </c>
      <c r="G27" s="4" t="s">
        <v>230</v>
      </c>
      <c r="H27" s="4">
        <v>4</v>
      </c>
      <c r="I27" s="7" t="s">
        <v>38</v>
      </c>
      <c r="J27" s="9"/>
      <c r="K27" s="4" t="s">
        <v>254</v>
      </c>
      <c r="L27" s="4" t="s">
        <v>255</v>
      </c>
    </row>
    <row r="28" spans="1:12" ht="32" x14ac:dyDescent="0.2">
      <c r="A28" s="4" t="s">
        <v>147</v>
      </c>
      <c r="B28" s="4" t="s">
        <v>160</v>
      </c>
      <c r="C28" s="5" t="s">
        <v>256</v>
      </c>
      <c r="D28" s="4" t="s">
        <v>237</v>
      </c>
      <c r="E28" s="4" t="s">
        <v>77</v>
      </c>
      <c r="F28" s="5" t="s">
        <v>238</v>
      </c>
      <c r="G28" s="4" t="s">
        <v>230</v>
      </c>
      <c r="H28" s="4">
        <v>3</v>
      </c>
      <c r="I28" s="7" t="s">
        <v>38</v>
      </c>
      <c r="J28" s="9"/>
      <c r="K28" s="4" t="s">
        <v>257</v>
      </c>
      <c r="L28" s="4" t="s">
        <v>240</v>
      </c>
    </row>
    <row r="29" spans="1:12" ht="16" x14ac:dyDescent="0.2">
      <c r="A29" s="4" t="s">
        <v>147</v>
      </c>
      <c r="B29" s="4" t="s">
        <v>160</v>
      </c>
      <c r="C29" s="5" t="s">
        <v>258</v>
      </c>
      <c r="D29" s="4" t="s">
        <v>162</v>
      </c>
      <c r="E29" s="4" t="s">
        <v>163</v>
      </c>
      <c r="F29" s="5" t="s">
        <v>164</v>
      </c>
      <c r="G29" s="4" t="s">
        <v>230</v>
      </c>
      <c r="H29" s="4">
        <v>3</v>
      </c>
      <c r="I29" s="7" t="s">
        <v>38</v>
      </c>
      <c r="J29" s="9"/>
      <c r="K29" s="4" t="s">
        <v>259</v>
      </c>
      <c r="L29" s="4" t="s">
        <v>166</v>
      </c>
    </row>
    <row r="30" spans="1:12" ht="48" x14ac:dyDescent="0.2">
      <c r="A30" s="4" t="s">
        <v>147</v>
      </c>
      <c r="B30" s="4" t="s">
        <v>160</v>
      </c>
      <c r="C30" s="5" t="s">
        <v>260</v>
      </c>
      <c r="D30" s="4" t="s">
        <v>261</v>
      </c>
      <c r="E30" s="4"/>
      <c r="F30" s="5" t="s">
        <v>262</v>
      </c>
      <c r="G30" s="4" t="s">
        <v>230</v>
      </c>
      <c r="H30" s="4">
        <v>1</v>
      </c>
      <c r="I30" s="7" t="s">
        <v>38</v>
      </c>
      <c r="J30" s="9"/>
      <c r="K30" s="4" t="s">
        <v>263</v>
      </c>
      <c r="L30" s="4" t="s">
        <v>264</v>
      </c>
    </row>
  </sheetData>
  <autoFilter ref="A2:J30" xr:uid="{00000000-0009-0000-0000-000004000000}"/>
  <conditionalFormatting sqref="A3:J30">
    <cfRule type="expression" dxfId="2" priority="1">
      <formula>$I3="ja"</formula>
    </cfRule>
  </conditionalFormatting>
  <dataValidations count="1">
    <dataValidation type="list" allowBlank="1" sqref="I3:I30" xr:uid="{00000000-0002-0000-0400-000000000000}">
      <formula1>"ja"</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7"/>
  <sheetViews>
    <sheetView tabSelected="1" workbookViewId="0">
      <pane ySplit="2" topLeftCell="A5" activePane="bottomLeft" state="frozen"/>
      <selection pane="bottomLeft" activeCell="E14" sqref="E14"/>
    </sheetView>
  </sheetViews>
  <sheetFormatPr baseColWidth="10" defaultColWidth="8.83203125" defaultRowHeight="15" x14ac:dyDescent="0.2"/>
  <cols>
    <col min="1" max="1" width="22" customWidth="1"/>
    <col min="2" max="2" width="14" customWidth="1"/>
    <col min="3" max="3" width="80" customWidth="1"/>
    <col min="4" max="4" width="14" customWidth="1"/>
    <col min="5" max="5" width="30" customWidth="1"/>
    <col min="6" max="6" width="34" customWidth="1"/>
    <col min="7" max="7" width="40" customWidth="1"/>
    <col min="8" max="8" width="10" customWidth="1"/>
    <col min="9" max="9" width="40" customWidth="1"/>
    <col min="10" max="11" width="14" hidden="1" customWidth="1"/>
  </cols>
  <sheetData>
    <row r="1" spans="1:11" x14ac:dyDescent="0.2">
      <c r="A1" s="2" t="s">
        <v>265</v>
      </c>
    </row>
    <row r="2" spans="1:11" ht="16" x14ac:dyDescent="0.2">
      <c r="A2" s="3" t="s">
        <v>266</v>
      </c>
      <c r="B2" s="3" t="s">
        <v>145</v>
      </c>
      <c r="C2" s="3" t="s">
        <v>267</v>
      </c>
      <c r="D2" s="3" t="s">
        <v>268</v>
      </c>
      <c r="E2" s="3" t="s">
        <v>269</v>
      </c>
      <c r="F2" s="3" t="s">
        <v>270</v>
      </c>
      <c r="G2" s="3" t="s">
        <v>271</v>
      </c>
      <c r="H2" s="3" t="s">
        <v>26</v>
      </c>
      <c r="I2" s="3" t="s">
        <v>28</v>
      </c>
      <c r="J2" s="3" t="s">
        <v>29</v>
      </c>
      <c r="K2" s="3" t="s">
        <v>30</v>
      </c>
    </row>
    <row r="3" spans="1:11" ht="32" x14ac:dyDescent="0.2">
      <c r="A3" s="4" t="s">
        <v>272</v>
      </c>
      <c r="B3" s="4" t="s">
        <v>118</v>
      </c>
      <c r="C3" s="5" t="s">
        <v>273</v>
      </c>
      <c r="D3" s="4" t="s">
        <v>274</v>
      </c>
      <c r="E3" s="4" t="s">
        <v>275</v>
      </c>
      <c r="F3" s="4" t="s">
        <v>276</v>
      </c>
      <c r="G3" s="5" t="s">
        <v>277</v>
      </c>
      <c r="H3" s="7" t="s">
        <v>38</v>
      </c>
      <c r="I3" s="9"/>
      <c r="J3" s="4" t="s">
        <v>278</v>
      </c>
      <c r="K3" s="4" t="s">
        <v>279</v>
      </c>
    </row>
    <row r="4" spans="1:11" ht="112" x14ac:dyDescent="0.2">
      <c r="A4" s="4" t="s">
        <v>272</v>
      </c>
      <c r="B4" s="4" t="s">
        <v>199</v>
      </c>
      <c r="C4" s="5" t="s">
        <v>280</v>
      </c>
      <c r="D4" s="4" t="s">
        <v>274</v>
      </c>
      <c r="E4" s="4" t="s">
        <v>275</v>
      </c>
      <c r="F4" s="4" t="s">
        <v>281</v>
      </c>
      <c r="G4" s="5" t="s">
        <v>282</v>
      </c>
      <c r="H4" s="7" t="s">
        <v>38</v>
      </c>
      <c r="I4" s="9"/>
      <c r="J4" s="4" t="s">
        <v>283</v>
      </c>
      <c r="K4" s="4" t="s">
        <v>284</v>
      </c>
    </row>
    <row r="5" spans="1:11" ht="80" x14ac:dyDescent="0.2">
      <c r="A5" s="4" t="s">
        <v>272</v>
      </c>
      <c r="B5" s="4" t="s">
        <v>199</v>
      </c>
      <c r="C5" s="5" t="s">
        <v>285</v>
      </c>
      <c r="D5" s="4" t="s">
        <v>274</v>
      </c>
      <c r="E5" s="4" t="s">
        <v>286</v>
      </c>
      <c r="F5" s="4" t="s">
        <v>287</v>
      </c>
      <c r="G5" s="5" t="s">
        <v>288</v>
      </c>
      <c r="H5" s="7" t="s">
        <v>38</v>
      </c>
      <c r="I5" s="9"/>
      <c r="J5" s="4" t="s">
        <v>289</v>
      </c>
      <c r="K5" s="4" t="s">
        <v>290</v>
      </c>
    </row>
    <row r="6" spans="1:11" ht="128" x14ac:dyDescent="0.2">
      <c r="A6" s="4" t="s">
        <v>272</v>
      </c>
      <c r="B6" s="4" t="s">
        <v>199</v>
      </c>
      <c r="C6" s="5" t="s">
        <v>291</v>
      </c>
      <c r="D6" s="4" t="s">
        <v>274</v>
      </c>
      <c r="E6" s="4" t="s">
        <v>292</v>
      </c>
      <c r="F6" s="4" t="s">
        <v>293</v>
      </c>
      <c r="G6" s="5" t="s">
        <v>294</v>
      </c>
      <c r="H6" s="7" t="s">
        <v>38</v>
      </c>
      <c r="I6" s="9"/>
      <c r="J6" s="4" t="s">
        <v>295</v>
      </c>
      <c r="K6" s="4" t="s">
        <v>296</v>
      </c>
    </row>
    <row r="7" spans="1:11" ht="64" x14ac:dyDescent="0.2">
      <c r="A7" s="4" t="s">
        <v>272</v>
      </c>
      <c r="B7" s="4" t="s">
        <v>199</v>
      </c>
      <c r="C7" s="5" t="s">
        <v>297</v>
      </c>
      <c r="D7" s="4" t="s">
        <v>274</v>
      </c>
      <c r="E7" s="4" t="s">
        <v>286</v>
      </c>
      <c r="F7" s="4" t="s">
        <v>298</v>
      </c>
      <c r="G7" s="5" t="s">
        <v>299</v>
      </c>
      <c r="H7" s="7" t="s">
        <v>38</v>
      </c>
      <c r="I7" s="9"/>
      <c r="J7" s="4" t="s">
        <v>300</v>
      </c>
      <c r="K7" s="4" t="s">
        <v>301</v>
      </c>
    </row>
    <row r="8" spans="1:11" ht="64" x14ac:dyDescent="0.2">
      <c r="A8" s="4" t="s">
        <v>272</v>
      </c>
      <c r="B8" s="4" t="s">
        <v>199</v>
      </c>
      <c r="C8" s="5" t="s">
        <v>302</v>
      </c>
      <c r="D8" s="4" t="s">
        <v>274</v>
      </c>
      <c r="E8" s="4" t="s">
        <v>286</v>
      </c>
      <c r="F8" s="4" t="s">
        <v>303</v>
      </c>
      <c r="G8" s="5" t="s">
        <v>304</v>
      </c>
      <c r="H8" s="7" t="s">
        <v>38</v>
      </c>
      <c r="I8" s="9"/>
      <c r="J8" s="4" t="s">
        <v>305</v>
      </c>
      <c r="K8" s="4" t="s">
        <v>306</v>
      </c>
    </row>
    <row r="9" spans="1:11" ht="64" x14ac:dyDescent="0.2">
      <c r="A9" s="4" t="s">
        <v>272</v>
      </c>
      <c r="B9" s="4" t="s">
        <v>199</v>
      </c>
      <c r="C9" s="5" t="s">
        <v>307</v>
      </c>
      <c r="D9" s="4" t="s">
        <v>274</v>
      </c>
      <c r="E9" s="4" t="s">
        <v>286</v>
      </c>
      <c r="F9" s="4" t="s">
        <v>303</v>
      </c>
      <c r="G9" s="5" t="s">
        <v>308</v>
      </c>
      <c r="H9" s="7" t="s">
        <v>38</v>
      </c>
      <c r="I9" s="9"/>
      <c r="J9" s="4" t="s">
        <v>309</v>
      </c>
      <c r="K9" s="4" t="s">
        <v>310</v>
      </c>
    </row>
    <row r="10" spans="1:11" ht="64" x14ac:dyDescent="0.2">
      <c r="A10" s="4" t="s">
        <v>272</v>
      </c>
      <c r="B10" s="4" t="s">
        <v>199</v>
      </c>
      <c r="C10" s="5" t="s">
        <v>311</v>
      </c>
      <c r="D10" s="4" t="s">
        <v>274</v>
      </c>
      <c r="E10" s="4" t="s">
        <v>286</v>
      </c>
      <c r="F10" s="4" t="s">
        <v>312</v>
      </c>
      <c r="G10" s="5" t="s">
        <v>313</v>
      </c>
      <c r="H10" s="7" t="s">
        <v>38</v>
      </c>
      <c r="I10" s="9"/>
      <c r="J10" s="4" t="s">
        <v>314</v>
      </c>
      <c r="K10" s="4" t="s">
        <v>315</v>
      </c>
    </row>
    <row r="11" spans="1:11" ht="64" x14ac:dyDescent="0.2">
      <c r="A11" s="4" t="s">
        <v>272</v>
      </c>
      <c r="B11" s="4" t="s">
        <v>199</v>
      </c>
      <c r="C11" s="5" t="s">
        <v>316</v>
      </c>
      <c r="D11" s="4" t="s">
        <v>274</v>
      </c>
      <c r="E11" s="4" t="s">
        <v>286</v>
      </c>
      <c r="F11" s="4" t="s">
        <v>303</v>
      </c>
      <c r="G11" s="5" t="s">
        <v>317</v>
      </c>
      <c r="H11" s="7" t="s">
        <v>38</v>
      </c>
      <c r="I11" s="9"/>
      <c r="J11" s="4" t="s">
        <v>318</v>
      </c>
      <c r="K11" s="4" t="s">
        <v>319</v>
      </c>
    </row>
    <row r="12" spans="1:11" ht="64" x14ac:dyDescent="0.2">
      <c r="A12" s="4" t="s">
        <v>272</v>
      </c>
      <c r="B12" s="4" t="s">
        <v>199</v>
      </c>
      <c r="C12" s="5" t="s">
        <v>320</v>
      </c>
      <c r="D12" s="4" t="s">
        <v>274</v>
      </c>
      <c r="E12" s="4" t="s">
        <v>286</v>
      </c>
      <c r="F12" s="4" t="s">
        <v>303</v>
      </c>
      <c r="G12" s="5" t="s">
        <v>321</v>
      </c>
      <c r="H12" s="7" t="s">
        <v>38</v>
      </c>
      <c r="I12" s="9"/>
      <c r="J12" s="4" t="s">
        <v>322</v>
      </c>
      <c r="K12" s="4" t="s">
        <v>323</v>
      </c>
    </row>
    <row r="13" spans="1:11" ht="32" x14ac:dyDescent="0.2">
      <c r="A13" s="4" t="s">
        <v>272</v>
      </c>
      <c r="B13" s="4" t="s">
        <v>324</v>
      </c>
      <c r="C13" s="5" t="s">
        <v>325</v>
      </c>
      <c r="D13" s="4" t="s">
        <v>274</v>
      </c>
      <c r="E13" s="4" t="s">
        <v>275</v>
      </c>
      <c r="F13" s="4" t="s">
        <v>326</v>
      </c>
      <c r="G13" s="5" t="s">
        <v>327</v>
      </c>
      <c r="H13" s="7" t="s">
        <v>38</v>
      </c>
      <c r="I13" s="9"/>
      <c r="J13" s="4" t="s">
        <v>328</v>
      </c>
      <c r="K13" s="4" t="s">
        <v>329</v>
      </c>
    </row>
    <row r="14" spans="1:11" ht="32" x14ac:dyDescent="0.2">
      <c r="A14" s="4" t="s">
        <v>272</v>
      </c>
      <c r="B14" s="4" t="s">
        <v>136</v>
      </c>
      <c r="C14" s="5" t="s">
        <v>330</v>
      </c>
      <c r="D14" s="4" t="s">
        <v>331</v>
      </c>
      <c r="E14" s="4" t="s">
        <v>332</v>
      </c>
      <c r="F14" s="4" t="s">
        <v>333</v>
      </c>
      <c r="G14" s="5" t="s">
        <v>334</v>
      </c>
      <c r="H14" s="7" t="s">
        <v>38</v>
      </c>
      <c r="I14" s="9"/>
      <c r="J14" s="4" t="s">
        <v>335</v>
      </c>
      <c r="K14" s="4" t="s">
        <v>336</v>
      </c>
    </row>
    <row r="15" spans="1:11" ht="32" x14ac:dyDescent="0.2">
      <c r="A15" s="4" t="s">
        <v>272</v>
      </c>
      <c r="B15" s="4" t="s">
        <v>136</v>
      </c>
      <c r="C15" s="5" t="s">
        <v>337</v>
      </c>
      <c r="D15" s="4" t="s">
        <v>331</v>
      </c>
      <c r="E15" s="4" t="s">
        <v>332</v>
      </c>
      <c r="F15" s="4" t="s">
        <v>333</v>
      </c>
      <c r="G15" s="5" t="s">
        <v>338</v>
      </c>
      <c r="H15" s="7" t="s">
        <v>38</v>
      </c>
      <c r="I15" s="9"/>
      <c r="J15" s="4" t="s">
        <v>339</v>
      </c>
      <c r="K15" s="4" t="s">
        <v>340</v>
      </c>
    </row>
    <row r="16" spans="1:11" ht="16" x14ac:dyDescent="0.2">
      <c r="A16" s="4" t="s">
        <v>272</v>
      </c>
      <c r="B16" s="4" t="s">
        <v>136</v>
      </c>
      <c r="C16" s="5" t="s">
        <v>341</v>
      </c>
      <c r="D16" s="4" t="s">
        <v>331</v>
      </c>
      <c r="E16" s="4" t="s">
        <v>332</v>
      </c>
      <c r="F16" s="4" t="s">
        <v>333</v>
      </c>
      <c r="G16" s="5" t="s">
        <v>342</v>
      </c>
      <c r="H16" s="7" t="s">
        <v>38</v>
      </c>
      <c r="I16" s="9"/>
      <c r="J16" s="4" t="s">
        <v>343</v>
      </c>
      <c r="K16" s="4" t="s">
        <v>344</v>
      </c>
    </row>
    <row r="17" spans="1:11" ht="16" x14ac:dyDescent="0.2">
      <c r="A17" s="4" t="s">
        <v>272</v>
      </c>
      <c r="B17" s="4" t="s">
        <v>136</v>
      </c>
      <c r="C17" s="5" t="s">
        <v>345</v>
      </c>
      <c r="D17" s="4" t="s">
        <v>331</v>
      </c>
      <c r="E17" s="4" t="s">
        <v>332</v>
      </c>
      <c r="F17" s="4" t="s">
        <v>333</v>
      </c>
      <c r="G17" s="5" t="s">
        <v>346</v>
      </c>
      <c r="H17" s="7" t="s">
        <v>38</v>
      </c>
      <c r="I17" s="9"/>
      <c r="J17" s="4" t="s">
        <v>347</v>
      </c>
      <c r="K17" s="4" t="s">
        <v>348</v>
      </c>
    </row>
    <row r="18" spans="1:11" ht="32" x14ac:dyDescent="0.2">
      <c r="A18" s="4" t="s">
        <v>272</v>
      </c>
      <c r="B18" s="4" t="s">
        <v>230</v>
      </c>
      <c r="C18" s="5" t="s">
        <v>349</v>
      </c>
      <c r="D18" s="4" t="s">
        <v>274</v>
      </c>
      <c r="E18" s="4" t="s">
        <v>275</v>
      </c>
      <c r="F18" s="4" t="s">
        <v>350</v>
      </c>
      <c r="G18" s="5" t="s">
        <v>351</v>
      </c>
      <c r="H18" s="7" t="s">
        <v>38</v>
      </c>
      <c r="I18" s="9"/>
      <c r="J18" s="4" t="s">
        <v>352</v>
      </c>
      <c r="K18" s="4" t="s">
        <v>353</v>
      </c>
    </row>
    <row r="19" spans="1:11" ht="16" x14ac:dyDescent="0.2">
      <c r="A19" s="4" t="s">
        <v>272</v>
      </c>
      <c r="B19" s="4" t="s">
        <v>230</v>
      </c>
      <c r="C19" s="5" t="s">
        <v>354</v>
      </c>
      <c r="D19" s="4" t="s">
        <v>274</v>
      </c>
      <c r="E19" s="4" t="s">
        <v>355</v>
      </c>
      <c r="F19" s="4" t="s">
        <v>356</v>
      </c>
      <c r="G19" s="5" t="s">
        <v>357</v>
      </c>
      <c r="H19" s="7" t="s">
        <v>38</v>
      </c>
      <c r="I19" s="9"/>
      <c r="J19" s="4" t="s">
        <v>358</v>
      </c>
      <c r="K19" s="4" t="s">
        <v>359</v>
      </c>
    </row>
    <row r="20" spans="1:11" ht="32" x14ac:dyDescent="0.2">
      <c r="A20" s="4" t="s">
        <v>272</v>
      </c>
      <c r="B20" s="4" t="s">
        <v>230</v>
      </c>
      <c r="C20" s="5" t="s">
        <v>360</v>
      </c>
      <c r="D20" s="4" t="s">
        <v>274</v>
      </c>
      <c r="E20" s="4" t="s">
        <v>361</v>
      </c>
      <c r="F20" s="4" t="s">
        <v>362</v>
      </c>
      <c r="G20" s="5" t="s">
        <v>363</v>
      </c>
      <c r="H20" s="7" t="s">
        <v>38</v>
      </c>
      <c r="I20" s="9"/>
      <c r="J20" s="4" t="s">
        <v>364</v>
      </c>
      <c r="K20" s="4" t="s">
        <v>365</v>
      </c>
    </row>
    <row r="21" spans="1:11" ht="32" x14ac:dyDescent="0.2">
      <c r="A21" s="4" t="s">
        <v>272</v>
      </c>
      <c r="B21" s="4" t="s">
        <v>230</v>
      </c>
      <c r="C21" s="5" t="s">
        <v>366</v>
      </c>
      <c r="D21" s="4" t="s">
        <v>274</v>
      </c>
      <c r="E21" s="4" t="s">
        <v>275</v>
      </c>
      <c r="F21" s="4" t="s">
        <v>350</v>
      </c>
      <c r="G21" s="5" t="s">
        <v>367</v>
      </c>
      <c r="H21" s="7" t="s">
        <v>38</v>
      </c>
      <c r="I21" s="9"/>
      <c r="J21" s="4" t="s">
        <v>368</v>
      </c>
      <c r="K21" s="4" t="s">
        <v>369</v>
      </c>
    </row>
    <row r="22" spans="1:11" ht="16" x14ac:dyDescent="0.2">
      <c r="A22" s="4" t="s">
        <v>272</v>
      </c>
      <c r="B22" s="4" t="s">
        <v>230</v>
      </c>
      <c r="C22" s="5" t="s">
        <v>370</v>
      </c>
      <c r="D22" s="4" t="s">
        <v>274</v>
      </c>
      <c r="E22" s="4" t="s">
        <v>355</v>
      </c>
      <c r="F22" s="4" t="s">
        <v>356</v>
      </c>
      <c r="G22" s="5" t="s">
        <v>371</v>
      </c>
      <c r="H22" s="7" t="s">
        <v>38</v>
      </c>
      <c r="I22" s="9"/>
      <c r="J22" s="4" t="s">
        <v>372</v>
      </c>
      <c r="K22" s="4" t="s">
        <v>373</v>
      </c>
    </row>
    <row r="23" spans="1:11" ht="32" x14ac:dyDescent="0.2">
      <c r="A23" s="4" t="s">
        <v>272</v>
      </c>
      <c r="B23" s="4" t="s">
        <v>230</v>
      </c>
      <c r="C23" s="5" t="s">
        <v>374</v>
      </c>
      <c r="D23" s="4" t="s">
        <v>274</v>
      </c>
      <c r="E23" s="4" t="s">
        <v>275</v>
      </c>
      <c r="F23" s="4" t="s">
        <v>350</v>
      </c>
      <c r="G23" s="5" t="s">
        <v>375</v>
      </c>
      <c r="H23" s="7" t="s">
        <v>38</v>
      </c>
      <c r="I23" s="9"/>
      <c r="J23" s="4" t="s">
        <v>376</v>
      </c>
      <c r="K23" s="4" t="s">
        <v>377</v>
      </c>
    </row>
    <row r="24" spans="1:11" ht="16" x14ac:dyDescent="0.2">
      <c r="A24" s="4" t="s">
        <v>272</v>
      </c>
      <c r="B24" s="4" t="s">
        <v>230</v>
      </c>
      <c r="C24" s="5" t="s">
        <v>378</v>
      </c>
      <c r="D24" s="4" t="s">
        <v>274</v>
      </c>
      <c r="E24" s="4" t="s">
        <v>355</v>
      </c>
      <c r="F24" s="4" t="s">
        <v>356</v>
      </c>
      <c r="G24" s="5" t="s">
        <v>379</v>
      </c>
      <c r="H24" s="7" t="s">
        <v>38</v>
      </c>
      <c r="I24" s="9"/>
      <c r="J24" s="4" t="s">
        <v>380</v>
      </c>
      <c r="K24" s="4" t="s">
        <v>381</v>
      </c>
    </row>
    <row r="25" spans="1:11" ht="32" x14ac:dyDescent="0.2">
      <c r="A25" s="4" t="s">
        <v>272</v>
      </c>
      <c r="B25" s="4" t="s">
        <v>230</v>
      </c>
      <c r="C25" s="5" t="s">
        <v>382</v>
      </c>
      <c r="D25" s="4" t="s">
        <v>274</v>
      </c>
      <c r="E25" s="4" t="s">
        <v>275</v>
      </c>
      <c r="F25" s="4" t="s">
        <v>350</v>
      </c>
      <c r="G25" s="5" t="s">
        <v>383</v>
      </c>
      <c r="H25" s="7" t="s">
        <v>38</v>
      </c>
      <c r="I25" s="9"/>
      <c r="J25" s="4" t="s">
        <v>384</v>
      </c>
      <c r="K25" s="4" t="s">
        <v>385</v>
      </c>
    </row>
    <row r="26" spans="1:11" ht="16" x14ac:dyDescent="0.2">
      <c r="A26" s="4" t="s">
        <v>272</v>
      </c>
      <c r="B26" s="4" t="s">
        <v>230</v>
      </c>
      <c r="C26" s="5" t="s">
        <v>386</v>
      </c>
      <c r="D26" s="4" t="s">
        <v>274</v>
      </c>
      <c r="E26" s="4" t="s">
        <v>355</v>
      </c>
      <c r="F26" s="4" t="s">
        <v>356</v>
      </c>
      <c r="G26" s="5" t="s">
        <v>387</v>
      </c>
      <c r="H26" s="7" t="s">
        <v>38</v>
      </c>
      <c r="I26" s="9"/>
      <c r="J26" s="4" t="s">
        <v>388</v>
      </c>
      <c r="K26" s="4" t="s">
        <v>389</v>
      </c>
    </row>
    <row r="27" spans="1:11" ht="16" x14ac:dyDescent="0.2">
      <c r="A27" s="4" t="s">
        <v>390</v>
      </c>
      <c r="B27" s="4" t="s">
        <v>169</v>
      </c>
      <c r="C27" s="5" t="s">
        <v>391</v>
      </c>
      <c r="D27" s="4" t="s">
        <v>392</v>
      </c>
      <c r="E27" s="4"/>
      <c r="F27" s="4" t="s">
        <v>393</v>
      </c>
      <c r="G27" s="5" t="s">
        <v>394</v>
      </c>
      <c r="H27" s="7" t="s">
        <v>38</v>
      </c>
      <c r="I27" s="9" t="s">
        <v>395</v>
      </c>
      <c r="J27" s="4" t="s">
        <v>396</v>
      </c>
      <c r="K27" s="4" t="s">
        <v>397</v>
      </c>
    </row>
    <row r="28" spans="1:11" ht="16" x14ac:dyDescent="0.2">
      <c r="A28" s="4" t="s">
        <v>390</v>
      </c>
      <c r="B28" s="4" t="s">
        <v>169</v>
      </c>
      <c r="C28" s="5" t="s">
        <v>398</v>
      </c>
      <c r="D28" s="4" t="s">
        <v>392</v>
      </c>
      <c r="E28" s="4"/>
      <c r="F28" s="4" t="s">
        <v>393</v>
      </c>
      <c r="G28" s="5" t="s">
        <v>399</v>
      </c>
      <c r="H28" s="7" t="s">
        <v>38</v>
      </c>
      <c r="I28" s="9" t="s">
        <v>400</v>
      </c>
      <c r="J28" s="4" t="s">
        <v>401</v>
      </c>
      <c r="K28" s="4" t="s">
        <v>402</v>
      </c>
    </row>
    <row r="29" spans="1:11" ht="16" x14ac:dyDescent="0.2">
      <c r="A29" s="4" t="s">
        <v>390</v>
      </c>
      <c r="B29" s="4" t="s">
        <v>102</v>
      </c>
      <c r="C29" s="5" t="s">
        <v>403</v>
      </c>
      <c r="D29" s="4" t="s">
        <v>392</v>
      </c>
      <c r="E29" s="4"/>
      <c r="F29" s="4" t="s">
        <v>404</v>
      </c>
      <c r="G29" s="5" t="s">
        <v>405</v>
      </c>
      <c r="H29" s="7" t="s">
        <v>38</v>
      </c>
      <c r="I29" s="9" t="s">
        <v>406</v>
      </c>
      <c r="J29" s="4" t="s">
        <v>407</v>
      </c>
      <c r="K29" s="4" t="s">
        <v>408</v>
      </c>
    </row>
    <row r="30" spans="1:11" ht="32" x14ac:dyDescent="0.2">
      <c r="A30" s="4" t="s">
        <v>390</v>
      </c>
      <c r="B30" s="4" t="s">
        <v>102</v>
      </c>
      <c r="C30" s="5" t="s">
        <v>409</v>
      </c>
      <c r="D30" s="4" t="s">
        <v>392</v>
      </c>
      <c r="E30" s="4"/>
      <c r="F30" s="4" t="s">
        <v>410</v>
      </c>
      <c r="G30" s="5" t="s">
        <v>411</v>
      </c>
      <c r="H30" s="7" t="s">
        <v>38</v>
      </c>
      <c r="I30" s="9"/>
      <c r="J30" s="4" t="s">
        <v>412</v>
      </c>
      <c r="K30" s="4" t="s">
        <v>413</v>
      </c>
    </row>
    <row r="31" spans="1:11" ht="48" x14ac:dyDescent="0.2">
      <c r="A31" s="4" t="s">
        <v>390</v>
      </c>
      <c r="B31" s="4" t="s">
        <v>102</v>
      </c>
      <c r="C31" s="5" t="s">
        <v>414</v>
      </c>
      <c r="D31" s="4" t="s">
        <v>415</v>
      </c>
      <c r="E31" s="4"/>
      <c r="F31" s="4" t="s">
        <v>393</v>
      </c>
      <c r="G31" s="5" t="s">
        <v>416</v>
      </c>
      <c r="H31" s="7" t="s">
        <v>38</v>
      </c>
      <c r="I31" s="9"/>
      <c r="J31" s="4" t="s">
        <v>417</v>
      </c>
      <c r="K31" s="4" t="s">
        <v>418</v>
      </c>
    </row>
    <row r="32" spans="1:11" ht="32" x14ac:dyDescent="0.2">
      <c r="A32" s="4" t="s">
        <v>390</v>
      </c>
      <c r="B32" s="4" t="s">
        <v>102</v>
      </c>
      <c r="C32" s="5" t="s">
        <v>419</v>
      </c>
      <c r="D32" s="4" t="s">
        <v>420</v>
      </c>
      <c r="E32" s="4"/>
      <c r="F32" s="4" t="s">
        <v>393</v>
      </c>
      <c r="G32" s="5" t="s">
        <v>421</v>
      </c>
      <c r="H32" s="7" t="s">
        <v>38</v>
      </c>
      <c r="I32" s="9"/>
      <c r="J32" s="4" t="s">
        <v>422</v>
      </c>
      <c r="K32" s="4" t="s">
        <v>423</v>
      </c>
    </row>
    <row r="33" spans="1:11" ht="48" x14ac:dyDescent="0.2">
      <c r="A33" s="4" t="s">
        <v>390</v>
      </c>
      <c r="B33" s="4" t="s">
        <v>102</v>
      </c>
      <c r="C33" s="5" t="s">
        <v>424</v>
      </c>
      <c r="D33" s="4" t="s">
        <v>415</v>
      </c>
      <c r="E33" s="4"/>
      <c r="F33" s="4" t="s">
        <v>393</v>
      </c>
      <c r="G33" s="5" t="s">
        <v>425</v>
      </c>
      <c r="H33" s="7" t="s">
        <v>38</v>
      </c>
      <c r="I33" s="9"/>
      <c r="J33" s="4" t="s">
        <v>426</v>
      </c>
      <c r="K33" s="4" t="s">
        <v>427</v>
      </c>
    </row>
    <row r="34" spans="1:11" ht="16" x14ac:dyDescent="0.2">
      <c r="A34" s="4" t="s">
        <v>390</v>
      </c>
      <c r="B34" s="4" t="s">
        <v>118</v>
      </c>
      <c r="C34" s="5" t="s">
        <v>428</v>
      </c>
      <c r="D34" s="4" t="s">
        <v>420</v>
      </c>
      <c r="E34" s="4"/>
      <c r="F34" s="4" t="s">
        <v>429</v>
      </c>
      <c r="G34" s="5" t="s">
        <v>430</v>
      </c>
      <c r="H34" s="7" t="s">
        <v>38</v>
      </c>
      <c r="I34" s="9"/>
      <c r="J34" s="4" t="s">
        <v>431</v>
      </c>
      <c r="K34" s="4" t="s">
        <v>432</v>
      </c>
    </row>
    <row r="35" spans="1:11" ht="48" x14ac:dyDescent="0.2">
      <c r="A35" s="4" t="s">
        <v>390</v>
      </c>
      <c r="B35" s="4" t="s">
        <v>118</v>
      </c>
      <c r="C35" s="5" t="s">
        <v>433</v>
      </c>
      <c r="D35" s="4" t="s">
        <v>415</v>
      </c>
      <c r="E35" s="4"/>
      <c r="F35" s="4" t="s">
        <v>393</v>
      </c>
      <c r="G35" s="5" t="s">
        <v>434</v>
      </c>
      <c r="H35" s="7" t="s">
        <v>38</v>
      </c>
      <c r="I35" s="9"/>
      <c r="J35" s="4" t="s">
        <v>435</v>
      </c>
      <c r="K35" s="4" t="s">
        <v>436</v>
      </c>
    </row>
    <row r="36" spans="1:11" ht="16" x14ac:dyDescent="0.2">
      <c r="A36" s="4" t="s">
        <v>390</v>
      </c>
      <c r="B36" s="4" t="s">
        <v>118</v>
      </c>
      <c r="C36" s="5" t="s">
        <v>437</v>
      </c>
      <c r="D36" s="4" t="s">
        <v>420</v>
      </c>
      <c r="E36" s="4"/>
      <c r="F36" s="4" t="s">
        <v>393</v>
      </c>
      <c r="G36" s="5" t="s">
        <v>438</v>
      </c>
      <c r="H36" s="7" t="s">
        <v>38</v>
      </c>
      <c r="I36" s="9"/>
      <c r="J36" s="4" t="s">
        <v>439</v>
      </c>
      <c r="K36" s="4" t="s">
        <v>440</v>
      </c>
    </row>
    <row r="37" spans="1:11" ht="16" x14ac:dyDescent="0.2">
      <c r="A37" s="4" t="s">
        <v>390</v>
      </c>
      <c r="B37" s="4" t="s">
        <v>118</v>
      </c>
      <c r="C37" s="5" t="s">
        <v>441</v>
      </c>
      <c r="D37" s="4" t="s">
        <v>420</v>
      </c>
      <c r="E37" s="4"/>
      <c r="F37" s="4" t="s">
        <v>393</v>
      </c>
      <c r="G37" s="5" t="s">
        <v>442</v>
      </c>
      <c r="H37" s="7" t="s">
        <v>38</v>
      </c>
      <c r="I37" s="9"/>
      <c r="J37" s="4" t="s">
        <v>443</v>
      </c>
      <c r="K37" s="4" t="s">
        <v>444</v>
      </c>
    </row>
    <row r="38" spans="1:11" ht="16" x14ac:dyDescent="0.2">
      <c r="A38" s="4" t="s">
        <v>390</v>
      </c>
      <c r="B38" s="4" t="s">
        <v>118</v>
      </c>
      <c r="C38" s="5" t="s">
        <v>445</v>
      </c>
      <c r="D38" s="4" t="s">
        <v>420</v>
      </c>
      <c r="E38" s="4"/>
      <c r="F38" s="4" t="s">
        <v>393</v>
      </c>
      <c r="G38" s="5" t="s">
        <v>446</v>
      </c>
      <c r="H38" s="7" t="s">
        <v>38</v>
      </c>
      <c r="I38" s="9"/>
      <c r="J38" s="4" t="s">
        <v>447</v>
      </c>
      <c r="K38" s="4" t="s">
        <v>448</v>
      </c>
    </row>
    <row r="39" spans="1:11" ht="224" x14ac:dyDescent="0.2">
      <c r="A39" s="4" t="s">
        <v>449</v>
      </c>
      <c r="B39" s="4" t="s">
        <v>102</v>
      </c>
      <c r="C39" s="5" t="s">
        <v>450</v>
      </c>
      <c r="D39" s="4" t="s">
        <v>451</v>
      </c>
      <c r="E39" s="4"/>
      <c r="F39" s="4"/>
      <c r="G39" s="5" t="s">
        <v>452</v>
      </c>
      <c r="H39" s="7" t="s">
        <v>38</v>
      </c>
      <c r="I39" s="9"/>
      <c r="J39" s="4" t="s">
        <v>453</v>
      </c>
      <c r="K39" s="4" t="s">
        <v>454</v>
      </c>
    </row>
    <row r="40" spans="1:11" ht="160" x14ac:dyDescent="0.2">
      <c r="A40" s="4" t="s">
        <v>449</v>
      </c>
      <c r="B40" s="4" t="s">
        <v>118</v>
      </c>
      <c r="C40" s="5" t="s">
        <v>455</v>
      </c>
      <c r="D40" s="4" t="s">
        <v>456</v>
      </c>
      <c r="E40" s="4"/>
      <c r="F40" s="4"/>
      <c r="G40" s="5" t="s">
        <v>457</v>
      </c>
      <c r="H40" s="7" t="s">
        <v>38</v>
      </c>
      <c r="I40" s="9"/>
      <c r="J40" s="4" t="s">
        <v>458</v>
      </c>
      <c r="K40" s="4" t="s">
        <v>459</v>
      </c>
    </row>
    <row r="41" spans="1:11" ht="409.6" x14ac:dyDescent="0.2">
      <c r="A41" s="4" t="s">
        <v>449</v>
      </c>
      <c r="B41" s="4" t="s">
        <v>124</v>
      </c>
      <c r="C41" s="5" t="s">
        <v>460</v>
      </c>
      <c r="D41" s="4" t="s">
        <v>456</v>
      </c>
      <c r="E41" s="4"/>
      <c r="F41" s="4"/>
      <c r="G41" s="5" t="s">
        <v>461</v>
      </c>
      <c r="H41" s="7" t="s">
        <v>38</v>
      </c>
      <c r="I41" s="9"/>
      <c r="J41" s="4" t="s">
        <v>462</v>
      </c>
      <c r="K41" s="4" t="s">
        <v>463</v>
      </c>
    </row>
    <row r="42" spans="1:11" ht="128" x14ac:dyDescent="0.2">
      <c r="A42" s="4" t="s">
        <v>449</v>
      </c>
      <c r="B42" s="4" t="s">
        <v>199</v>
      </c>
      <c r="C42" s="5" t="s">
        <v>464</v>
      </c>
      <c r="D42" s="4" t="s">
        <v>415</v>
      </c>
      <c r="E42" s="4"/>
      <c r="F42" s="4"/>
      <c r="G42" s="5" t="s">
        <v>465</v>
      </c>
      <c r="H42" s="7" t="s">
        <v>38</v>
      </c>
      <c r="I42" s="9"/>
      <c r="J42" s="4" t="s">
        <v>466</v>
      </c>
      <c r="K42" s="4" t="s">
        <v>467</v>
      </c>
    </row>
    <row r="43" spans="1:11" ht="176" x14ac:dyDescent="0.2">
      <c r="A43" s="4" t="s">
        <v>449</v>
      </c>
      <c r="B43" s="4" t="s">
        <v>130</v>
      </c>
      <c r="C43" s="5" t="s">
        <v>468</v>
      </c>
      <c r="D43" s="4" t="s">
        <v>456</v>
      </c>
      <c r="E43" s="4"/>
      <c r="F43" s="4"/>
      <c r="G43" s="5" t="s">
        <v>469</v>
      </c>
      <c r="H43" s="7" t="s">
        <v>38</v>
      </c>
      <c r="I43" s="9"/>
      <c r="J43" s="4" t="s">
        <v>470</v>
      </c>
      <c r="K43" s="4" t="s">
        <v>471</v>
      </c>
    </row>
    <row r="44" spans="1:11" ht="320" x14ac:dyDescent="0.2">
      <c r="A44" s="4" t="s">
        <v>449</v>
      </c>
      <c r="B44" s="4" t="s">
        <v>133</v>
      </c>
      <c r="C44" s="5" t="s">
        <v>472</v>
      </c>
      <c r="D44" s="4" t="s">
        <v>451</v>
      </c>
      <c r="E44" s="4"/>
      <c r="F44" s="4"/>
      <c r="G44" s="5" t="s">
        <v>473</v>
      </c>
      <c r="H44" s="7" t="s">
        <v>38</v>
      </c>
      <c r="I44" s="9"/>
      <c r="J44" s="4" t="s">
        <v>474</v>
      </c>
      <c r="K44" s="4" t="s">
        <v>475</v>
      </c>
    </row>
    <row r="45" spans="1:11" ht="320" x14ac:dyDescent="0.2">
      <c r="A45" s="4" t="s">
        <v>449</v>
      </c>
      <c r="B45" s="4" t="s">
        <v>136</v>
      </c>
      <c r="C45" s="5" t="s">
        <v>476</v>
      </c>
      <c r="D45" s="4" t="s">
        <v>456</v>
      </c>
      <c r="E45" s="4"/>
      <c r="F45" s="4"/>
      <c r="G45" s="5" t="s">
        <v>477</v>
      </c>
      <c r="H45" s="7" t="s">
        <v>38</v>
      </c>
      <c r="I45" s="9"/>
      <c r="J45" s="4" t="s">
        <v>478</v>
      </c>
      <c r="K45" s="4" t="s">
        <v>479</v>
      </c>
    </row>
    <row r="46" spans="1:11" ht="48" x14ac:dyDescent="0.2">
      <c r="A46" s="4" t="s">
        <v>449</v>
      </c>
      <c r="B46" s="4" t="s">
        <v>480</v>
      </c>
      <c r="C46" s="5" t="s">
        <v>481</v>
      </c>
      <c r="D46" s="4" t="s">
        <v>392</v>
      </c>
      <c r="E46" s="4"/>
      <c r="F46" s="4"/>
      <c r="G46" s="5" t="s">
        <v>482</v>
      </c>
      <c r="H46" s="7" t="s">
        <v>38</v>
      </c>
      <c r="I46" s="9"/>
      <c r="J46" s="4" t="s">
        <v>483</v>
      </c>
      <c r="K46" s="4" t="s">
        <v>484</v>
      </c>
    </row>
    <row r="47" spans="1:11" ht="409.6" x14ac:dyDescent="0.2">
      <c r="A47" s="4" t="s">
        <v>449</v>
      </c>
      <c r="B47" s="4" t="s">
        <v>230</v>
      </c>
      <c r="C47" s="5" t="s">
        <v>485</v>
      </c>
      <c r="D47" s="4" t="s">
        <v>451</v>
      </c>
      <c r="E47" s="4"/>
      <c r="F47" s="4"/>
      <c r="G47" s="5" t="s">
        <v>486</v>
      </c>
      <c r="H47" s="7" t="s">
        <v>38</v>
      </c>
      <c r="I47" s="9"/>
      <c r="J47" s="4" t="s">
        <v>487</v>
      </c>
      <c r="K47" s="4" t="s">
        <v>488</v>
      </c>
    </row>
  </sheetData>
  <autoFilter ref="A2:I47" xr:uid="{00000000-0009-0000-0000-000005000000}"/>
  <conditionalFormatting sqref="A3:I47">
    <cfRule type="expression" dxfId="1" priority="1">
      <formula>$H3="ja"</formula>
    </cfRule>
  </conditionalFormatting>
  <dataValidations count="1">
    <dataValidation type="list" allowBlank="1" sqref="H3:H47" xr:uid="{00000000-0002-0000-0500-000000000000}">
      <formula1>"ja"</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0"/>
  <sheetViews>
    <sheetView workbookViewId="0">
      <pane ySplit="2" topLeftCell="A3" activePane="bottomLeft" state="frozen"/>
      <selection pane="bottomLeft"/>
    </sheetView>
  </sheetViews>
  <sheetFormatPr baseColWidth="10" defaultColWidth="8.83203125" defaultRowHeight="15" x14ac:dyDescent="0.2"/>
  <cols>
    <col min="1" max="1" width="22" customWidth="1"/>
    <col min="2" max="2" width="38" customWidth="1"/>
    <col min="3" max="3" width="30" customWidth="1"/>
    <col min="4" max="4" width="12" customWidth="1"/>
    <col min="5" max="5" width="48" customWidth="1"/>
    <col min="6" max="6" width="15" customWidth="1"/>
    <col min="7" max="7" width="22" customWidth="1"/>
    <col min="8" max="8" width="8" customWidth="1"/>
    <col min="9" max="9" width="34" customWidth="1"/>
    <col min="10" max="10" width="40" customWidth="1"/>
    <col min="11" max="11" width="90" customWidth="1"/>
    <col min="12" max="12" width="10" customWidth="1"/>
    <col min="13" max="13" width="40" customWidth="1"/>
    <col min="14" max="15" width="14" hidden="1" customWidth="1"/>
  </cols>
  <sheetData>
    <row r="1" spans="1:15" x14ac:dyDescent="0.2">
      <c r="A1" s="2" t="s">
        <v>489</v>
      </c>
    </row>
    <row r="2" spans="1:15" ht="32" x14ac:dyDescent="0.2">
      <c r="A2" s="3" t="s">
        <v>490</v>
      </c>
      <c r="B2" s="3" t="s">
        <v>17</v>
      </c>
      <c r="C2" s="3" t="s">
        <v>21</v>
      </c>
      <c r="D2" s="3" t="s">
        <v>22</v>
      </c>
      <c r="E2" s="3" t="s">
        <v>491</v>
      </c>
      <c r="F2" s="3" t="s">
        <v>19</v>
      </c>
      <c r="G2" s="3" t="s">
        <v>143</v>
      </c>
      <c r="H2" s="3" t="s">
        <v>20</v>
      </c>
      <c r="I2" s="3" t="s">
        <v>492</v>
      </c>
      <c r="J2" s="3" t="s">
        <v>493</v>
      </c>
      <c r="K2" s="3" t="s">
        <v>494</v>
      </c>
      <c r="L2" s="3" t="s">
        <v>26</v>
      </c>
      <c r="M2" s="3" t="s">
        <v>28</v>
      </c>
      <c r="N2" s="3" t="s">
        <v>29</v>
      </c>
      <c r="O2" s="3" t="s">
        <v>30</v>
      </c>
    </row>
    <row r="3" spans="1:15" ht="64" x14ac:dyDescent="0.2">
      <c r="A3" s="4" t="s">
        <v>495</v>
      </c>
      <c r="B3" s="4" t="s">
        <v>496</v>
      </c>
      <c r="C3" s="4" t="s">
        <v>89</v>
      </c>
      <c r="D3" s="4">
        <v>35</v>
      </c>
      <c r="E3" s="5" t="s">
        <v>497</v>
      </c>
      <c r="F3" s="4" t="s">
        <v>33</v>
      </c>
      <c r="G3" s="4" t="s">
        <v>177</v>
      </c>
      <c r="H3" s="4" t="s">
        <v>498</v>
      </c>
      <c r="I3" s="4" t="s">
        <v>499</v>
      </c>
      <c r="J3" s="5" t="s">
        <v>500</v>
      </c>
      <c r="K3" s="5" t="s">
        <v>501</v>
      </c>
      <c r="L3" s="7" t="s">
        <v>38</v>
      </c>
      <c r="M3" s="9"/>
      <c r="N3" s="4" t="s">
        <v>502</v>
      </c>
      <c r="O3" s="4" t="s">
        <v>503</v>
      </c>
    </row>
    <row r="4" spans="1:15" ht="64" x14ac:dyDescent="0.2">
      <c r="A4" s="4" t="s">
        <v>504</v>
      </c>
      <c r="B4" s="4" t="s">
        <v>505</v>
      </c>
      <c r="C4" s="4" t="s">
        <v>89</v>
      </c>
      <c r="D4" s="4" t="s">
        <v>506</v>
      </c>
      <c r="E4" s="5" t="s">
        <v>88</v>
      </c>
      <c r="F4" s="4" t="s">
        <v>33</v>
      </c>
      <c r="G4" s="4" t="s">
        <v>177</v>
      </c>
      <c r="H4" s="4" t="s">
        <v>498</v>
      </c>
      <c r="I4" s="4" t="s">
        <v>507</v>
      </c>
      <c r="J4" s="5" t="s">
        <v>508</v>
      </c>
      <c r="K4" s="5" t="s">
        <v>509</v>
      </c>
      <c r="L4" s="7" t="s">
        <v>38</v>
      </c>
      <c r="M4" s="9"/>
      <c r="N4" s="4" t="s">
        <v>510</v>
      </c>
      <c r="O4" s="4" t="s">
        <v>511</v>
      </c>
    </row>
    <row r="5" spans="1:15" ht="16" x14ac:dyDescent="0.2">
      <c r="A5" s="4" t="s">
        <v>512</v>
      </c>
      <c r="B5" s="4" t="s">
        <v>513</v>
      </c>
      <c r="C5" s="4" t="s">
        <v>47</v>
      </c>
      <c r="D5" s="4">
        <v>97</v>
      </c>
      <c r="E5" s="5" t="s">
        <v>514</v>
      </c>
      <c r="F5" s="4" t="s">
        <v>33</v>
      </c>
      <c r="G5" s="4" t="s">
        <v>177</v>
      </c>
      <c r="H5" s="4" t="s">
        <v>515</v>
      </c>
      <c r="I5" s="4" t="s">
        <v>516</v>
      </c>
      <c r="J5" s="5" t="s">
        <v>517</v>
      </c>
      <c r="K5" s="5" t="s">
        <v>518</v>
      </c>
      <c r="L5" s="7" t="s">
        <v>38</v>
      </c>
      <c r="M5" s="9"/>
      <c r="N5" s="4" t="s">
        <v>519</v>
      </c>
      <c r="O5" s="4" t="s">
        <v>520</v>
      </c>
    </row>
    <row r="6" spans="1:15" ht="16" x14ac:dyDescent="0.2">
      <c r="A6" s="4" t="s">
        <v>512</v>
      </c>
      <c r="B6" s="4" t="s">
        <v>513</v>
      </c>
      <c r="C6" s="4" t="s">
        <v>47</v>
      </c>
      <c r="D6" s="4">
        <v>97</v>
      </c>
      <c r="E6" s="5" t="s">
        <v>514</v>
      </c>
      <c r="F6" s="4" t="s">
        <v>33</v>
      </c>
      <c r="G6" s="4" t="s">
        <v>177</v>
      </c>
      <c r="H6" s="4" t="s">
        <v>83</v>
      </c>
      <c r="I6" s="4" t="s">
        <v>516</v>
      </c>
      <c r="J6" s="5" t="s">
        <v>521</v>
      </c>
      <c r="K6" s="5" t="s">
        <v>522</v>
      </c>
      <c r="L6" s="7" t="s">
        <v>38</v>
      </c>
      <c r="M6" s="9"/>
      <c r="N6" s="4" t="s">
        <v>523</v>
      </c>
      <c r="O6" s="4" t="s">
        <v>524</v>
      </c>
    </row>
    <row r="7" spans="1:15" ht="48" x14ac:dyDescent="0.2">
      <c r="A7" s="4" t="s">
        <v>504</v>
      </c>
      <c r="B7" s="4" t="s">
        <v>525</v>
      </c>
      <c r="C7" s="4" t="s">
        <v>47</v>
      </c>
      <c r="D7" s="4" t="s">
        <v>526</v>
      </c>
      <c r="E7" s="5" t="s">
        <v>527</v>
      </c>
      <c r="F7" s="4" t="s">
        <v>33</v>
      </c>
      <c r="G7" s="4" t="s">
        <v>156</v>
      </c>
      <c r="H7" s="4" t="s">
        <v>83</v>
      </c>
      <c r="I7" s="4" t="s">
        <v>528</v>
      </c>
      <c r="J7" s="5" t="s">
        <v>529</v>
      </c>
      <c r="K7" s="5" t="s">
        <v>530</v>
      </c>
      <c r="L7" s="7" t="s">
        <v>38</v>
      </c>
      <c r="M7" s="9"/>
      <c r="N7" s="4" t="s">
        <v>531</v>
      </c>
      <c r="O7" s="4" t="s">
        <v>532</v>
      </c>
    </row>
    <row r="8" spans="1:15" ht="48" x14ac:dyDescent="0.2">
      <c r="A8" s="4" t="s">
        <v>504</v>
      </c>
      <c r="B8" s="4" t="s">
        <v>533</v>
      </c>
      <c r="C8" s="4" t="s">
        <v>67</v>
      </c>
      <c r="D8" s="4" t="s">
        <v>534</v>
      </c>
      <c r="E8" s="5" t="s">
        <v>527</v>
      </c>
      <c r="F8" s="4" t="s">
        <v>33</v>
      </c>
      <c r="G8" s="4" t="s">
        <v>156</v>
      </c>
      <c r="H8" s="4" t="s">
        <v>83</v>
      </c>
      <c r="I8" s="4" t="s">
        <v>528</v>
      </c>
      <c r="J8" s="5" t="s">
        <v>535</v>
      </c>
      <c r="K8" s="5" t="s">
        <v>536</v>
      </c>
      <c r="L8" s="7" t="s">
        <v>38</v>
      </c>
      <c r="M8" s="9"/>
      <c r="N8" s="4" t="s">
        <v>537</v>
      </c>
      <c r="O8" s="4" t="s">
        <v>538</v>
      </c>
    </row>
    <row r="9" spans="1:15" ht="48" x14ac:dyDescent="0.2">
      <c r="A9" s="4" t="s">
        <v>504</v>
      </c>
      <c r="B9" s="4" t="s">
        <v>533</v>
      </c>
      <c r="C9" s="4" t="s">
        <v>67</v>
      </c>
      <c r="D9" s="4" t="s">
        <v>534</v>
      </c>
      <c r="E9" s="5" t="s">
        <v>539</v>
      </c>
      <c r="F9" s="4" t="s">
        <v>33</v>
      </c>
      <c r="G9" s="4" t="s">
        <v>150</v>
      </c>
      <c r="H9" s="4" t="s">
        <v>83</v>
      </c>
      <c r="I9" s="4" t="s">
        <v>528</v>
      </c>
      <c r="J9" s="5" t="s">
        <v>540</v>
      </c>
      <c r="K9" s="5" t="s">
        <v>541</v>
      </c>
      <c r="L9" s="7" t="s">
        <v>38</v>
      </c>
      <c r="M9" s="9"/>
      <c r="N9" s="4" t="s">
        <v>542</v>
      </c>
      <c r="O9" s="4" t="s">
        <v>543</v>
      </c>
    </row>
    <row r="10" spans="1:15" ht="32" x14ac:dyDescent="0.2">
      <c r="A10" s="4" t="s">
        <v>504</v>
      </c>
      <c r="B10" s="4" t="s">
        <v>544</v>
      </c>
      <c r="C10" s="4" t="s">
        <v>545</v>
      </c>
      <c r="D10" s="4" t="s">
        <v>546</v>
      </c>
      <c r="E10" s="5" t="s">
        <v>547</v>
      </c>
      <c r="F10" s="4" t="s">
        <v>33</v>
      </c>
      <c r="G10" s="4" t="s">
        <v>156</v>
      </c>
      <c r="H10" s="4" t="s">
        <v>83</v>
      </c>
      <c r="I10" s="4" t="s">
        <v>528</v>
      </c>
      <c r="J10" s="5" t="s">
        <v>548</v>
      </c>
      <c r="K10" s="5" t="s">
        <v>549</v>
      </c>
      <c r="L10" s="7" t="s">
        <v>38</v>
      </c>
      <c r="M10" s="9"/>
      <c r="N10" s="4" t="s">
        <v>550</v>
      </c>
      <c r="O10" s="4" t="s">
        <v>551</v>
      </c>
    </row>
    <row r="11" spans="1:15" ht="32" x14ac:dyDescent="0.2">
      <c r="A11" s="4" t="s">
        <v>512</v>
      </c>
      <c r="B11" s="4" t="s">
        <v>552</v>
      </c>
      <c r="C11" s="4" t="s">
        <v>545</v>
      </c>
      <c r="D11" s="4">
        <v>5</v>
      </c>
      <c r="E11" s="5" t="s">
        <v>553</v>
      </c>
      <c r="F11" s="4" t="s">
        <v>163</v>
      </c>
      <c r="G11" s="4" t="s">
        <v>162</v>
      </c>
      <c r="H11" s="4" t="s">
        <v>83</v>
      </c>
      <c r="I11" s="4" t="s">
        <v>554</v>
      </c>
      <c r="J11" s="5" t="s">
        <v>555</v>
      </c>
      <c r="K11" s="5" t="s">
        <v>556</v>
      </c>
      <c r="L11" s="7" t="s">
        <v>38</v>
      </c>
      <c r="M11" s="9"/>
      <c r="N11" s="4" t="s">
        <v>557</v>
      </c>
      <c r="O11" s="4" t="s">
        <v>558</v>
      </c>
    </row>
    <row r="12" spans="1:15" ht="16" x14ac:dyDescent="0.2">
      <c r="A12" s="4" t="s">
        <v>512</v>
      </c>
      <c r="B12" s="4" t="s">
        <v>559</v>
      </c>
      <c r="C12" s="4" t="s">
        <v>545</v>
      </c>
      <c r="D12" s="4">
        <v>5</v>
      </c>
      <c r="E12" s="5" t="s">
        <v>76</v>
      </c>
      <c r="F12" s="4" t="s">
        <v>77</v>
      </c>
      <c r="G12" s="4" t="s">
        <v>560</v>
      </c>
      <c r="H12" s="4" t="s">
        <v>83</v>
      </c>
      <c r="I12" s="4" t="s">
        <v>554</v>
      </c>
      <c r="J12" s="5" t="s">
        <v>561</v>
      </c>
      <c r="K12" s="5" t="s">
        <v>562</v>
      </c>
      <c r="L12" s="7" t="s">
        <v>38</v>
      </c>
      <c r="M12" s="9"/>
      <c r="N12" s="4" t="s">
        <v>563</v>
      </c>
      <c r="O12" s="4" t="s">
        <v>564</v>
      </c>
    </row>
    <row r="13" spans="1:15" ht="48" x14ac:dyDescent="0.2">
      <c r="A13" s="4" t="s">
        <v>512</v>
      </c>
      <c r="B13" s="4" t="s">
        <v>565</v>
      </c>
      <c r="C13" s="4" t="s">
        <v>35</v>
      </c>
      <c r="D13" s="4">
        <v>1</v>
      </c>
      <c r="E13" s="5" t="s">
        <v>566</v>
      </c>
      <c r="F13" s="4" t="s">
        <v>33</v>
      </c>
      <c r="G13" s="4" t="s">
        <v>182</v>
      </c>
      <c r="H13" s="4" t="s">
        <v>567</v>
      </c>
      <c r="I13" s="4" t="s">
        <v>568</v>
      </c>
      <c r="J13" s="5" t="s">
        <v>569</v>
      </c>
      <c r="K13" s="5" t="s">
        <v>570</v>
      </c>
      <c r="L13" s="7" t="s">
        <v>38</v>
      </c>
      <c r="M13" s="9"/>
      <c r="N13" s="4" t="s">
        <v>571</v>
      </c>
      <c r="O13" s="4" t="s">
        <v>572</v>
      </c>
    </row>
    <row r="14" spans="1:15" ht="16" x14ac:dyDescent="0.2">
      <c r="A14" s="4" t="s">
        <v>512</v>
      </c>
      <c r="B14" s="4" t="s">
        <v>565</v>
      </c>
      <c r="C14" s="4" t="s">
        <v>35</v>
      </c>
      <c r="D14" s="4">
        <v>1</v>
      </c>
      <c r="E14" s="5" t="s">
        <v>573</v>
      </c>
      <c r="F14" s="4" t="s">
        <v>33</v>
      </c>
      <c r="G14" s="4" t="s">
        <v>177</v>
      </c>
      <c r="H14" s="4" t="s">
        <v>567</v>
      </c>
      <c r="I14" s="4" t="s">
        <v>568</v>
      </c>
      <c r="J14" s="5" t="s">
        <v>574</v>
      </c>
      <c r="K14" s="5" t="s">
        <v>575</v>
      </c>
      <c r="L14" s="7" t="s">
        <v>38</v>
      </c>
      <c r="M14" s="9"/>
      <c r="N14" s="4" t="s">
        <v>576</v>
      </c>
      <c r="O14" s="4" t="s">
        <v>577</v>
      </c>
    </row>
    <row r="15" spans="1:15" ht="48" x14ac:dyDescent="0.2">
      <c r="A15" s="4" t="s">
        <v>578</v>
      </c>
      <c r="B15" s="4" t="s">
        <v>565</v>
      </c>
      <c r="C15" s="4" t="s">
        <v>35</v>
      </c>
      <c r="D15" s="4">
        <v>1</v>
      </c>
      <c r="E15" s="5" t="s">
        <v>566</v>
      </c>
      <c r="F15" s="4" t="s">
        <v>33</v>
      </c>
      <c r="G15" s="4" t="s">
        <v>182</v>
      </c>
      <c r="H15" s="4" t="s">
        <v>83</v>
      </c>
      <c r="I15" s="4" t="s">
        <v>554</v>
      </c>
      <c r="J15" s="5" t="s">
        <v>579</v>
      </c>
      <c r="K15" s="5" t="s">
        <v>580</v>
      </c>
      <c r="L15" s="7" t="s">
        <v>38</v>
      </c>
      <c r="M15" s="9"/>
      <c r="N15" s="4" t="s">
        <v>581</v>
      </c>
      <c r="O15" s="4" t="s">
        <v>582</v>
      </c>
    </row>
    <row r="16" spans="1:15" ht="48" x14ac:dyDescent="0.2">
      <c r="A16" s="4" t="s">
        <v>504</v>
      </c>
      <c r="B16" s="4" t="s">
        <v>583</v>
      </c>
      <c r="C16" s="4" t="s">
        <v>35</v>
      </c>
      <c r="D16" s="4" t="s">
        <v>584</v>
      </c>
      <c r="E16" s="5" t="s">
        <v>585</v>
      </c>
      <c r="F16" s="4" t="s">
        <v>33</v>
      </c>
      <c r="G16" s="4" t="s">
        <v>177</v>
      </c>
      <c r="H16" s="4" t="s">
        <v>586</v>
      </c>
      <c r="I16" s="4" t="s">
        <v>507</v>
      </c>
      <c r="J16" s="5" t="s">
        <v>587</v>
      </c>
      <c r="K16" s="5" t="s">
        <v>588</v>
      </c>
      <c r="L16" s="7" t="s">
        <v>38</v>
      </c>
      <c r="M16" s="9"/>
      <c r="N16" s="4" t="s">
        <v>589</v>
      </c>
      <c r="O16" s="4" t="s">
        <v>590</v>
      </c>
    </row>
    <row r="17" spans="1:15" ht="32" x14ac:dyDescent="0.2">
      <c r="A17" s="4" t="s">
        <v>504</v>
      </c>
      <c r="B17" s="4" t="s">
        <v>565</v>
      </c>
      <c r="C17" s="4" t="s">
        <v>35</v>
      </c>
      <c r="D17" s="4">
        <v>1</v>
      </c>
      <c r="E17" s="5" t="s">
        <v>573</v>
      </c>
      <c r="F17" s="4" t="s">
        <v>33</v>
      </c>
      <c r="G17" s="4" t="s">
        <v>177</v>
      </c>
      <c r="H17" s="4" t="s">
        <v>73</v>
      </c>
      <c r="I17" s="4" t="s">
        <v>507</v>
      </c>
      <c r="J17" s="5" t="s">
        <v>591</v>
      </c>
      <c r="K17" s="5" t="s">
        <v>592</v>
      </c>
      <c r="L17" s="7" t="s">
        <v>38</v>
      </c>
      <c r="M17" s="9"/>
      <c r="N17" s="4" t="s">
        <v>593</v>
      </c>
      <c r="O17" s="4" t="s">
        <v>594</v>
      </c>
    </row>
    <row r="18" spans="1:15" ht="48" x14ac:dyDescent="0.2">
      <c r="A18" s="4" t="s">
        <v>512</v>
      </c>
      <c r="B18" s="4" t="s">
        <v>583</v>
      </c>
      <c r="C18" s="4" t="s">
        <v>35</v>
      </c>
      <c r="D18" s="4" t="s">
        <v>584</v>
      </c>
      <c r="E18" s="5" t="s">
        <v>585</v>
      </c>
      <c r="F18" s="4" t="s">
        <v>33</v>
      </c>
      <c r="G18" s="4" t="s">
        <v>177</v>
      </c>
      <c r="H18" s="4" t="s">
        <v>83</v>
      </c>
      <c r="I18" s="4" t="s">
        <v>507</v>
      </c>
      <c r="J18" s="5" t="s">
        <v>595</v>
      </c>
      <c r="K18" s="5" t="s">
        <v>596</v>
      </c>
      <c r="L18" s="7" t="s">
        <v>38</v>
      </c>
      <c r="M18" s="9"/>
      <c r="N18" s="4" t="s">
        <v>597</v>
      </c>
      <c r="O18" s="4" t="s">
        <v>598</v>
      </c>
    </row>
    <row r="19" spans="1:15" ht="48" x14ac:dyDescent="0.2">
      <c r="A19" s="4" t="s">
        <v>504</v>
      </c>
      <c r="B19" s="4" t="s">
        <v>583</v>
      </c>
      <c r="C19" s="4" t="s">
        <v>35</v>
      </c>
      <c r="D19" s="4" t="s">
        <v>584</v>
      </c>
      <c r="E19" s="5" t="s">
        <v>527</v>
      </c>
      <c r="F19" s="4" t="s">
        <v>33</v>
      </c>
      <c r="G19" s="4" t="s">
        <v>156</v>
      </c>
      <c r="H19" s="4" t="s">
        <v>83</v>
      </c>
      <c r="I19" s="4" t="s">
        <v>528</v>
      </c>
      <c r="J19" s="5" t="s">
        <v>599</v>
      </c>
      <c r="K19" s="5" t="s">
        <v>600</v>
      </c>
      <c r="L19" s="7" t="s">
        <v>38</v>
      </c>
      <c r="M19" s="9"/>
      <c r="N19" s="4" t="s">
        <v>601</v>
      </c>
      <c r="O19" s="4" t="s">
        <v>602</v>
      </c>
    </row>
    <row r="20" spans="1:15" ht="48" x14ac:dyDescent="0.2">
      <c r="A20" s="4" t="s">
        <v>512</v>
      </c>
      <c r="B20" s="4" t="s">
        <v>603</v>
      </c>
      <c r="C20" s="4" t="s">
        <v>35</v>
      </c>
      <c r="D20" s="4">
        <v>1</v>
      </c>
      <c r="E20" s="5" t="s">
        <v>566</v>
      </c>
      <c r="F20" s="4" t="s">
        <v>33</v>
      </c>
      <c r="G20" s="4" t="s">
        <v>182</v>
      </c>
      <c r="H20" s="4" t="s">
        <v>567</v>
      </c>
      <c r="I20" s="4" t="s">
        <v>568</v>
      </c>
      <c r="J20" s="5" t="s">
        <v>569</v>
      </c>
      <c r="K20" s="5" t="s">
        <v>604</v>
      </c>
      <c r="L20" s="7" t="s">
        <v>38</v>
      </c>
      <c r="M20" s="9"/>
      <c r="N20" s="4" t="s">
        <v>605</v>
      </c>
      <c r="O20" s="4" t="s">
        <v>606</v>
      </c>
    </row>
    <row r="21" spans="1:15" ht="48" x14ac:dyDescent="0.2">
      <c r="A21" s="4" t="s">
        <v>578</v>
      </c>
      <c r="B21" s="4" t="s">
        <v>603</v>
      </c>
      <c r="C21" s="4" t="s">
        <v>35</v>
      </c>
      <c r="D21" s="4">
        <v>1</v>
      </c>
      <c r="E21" s="5" t="s">
        <v>566</v>
      </c>
      <c r="F21" s="4" t="s">
        <v>33</v>
      </c>
      <c r="G21" s="4" t="s">
        <v>182</v>
      </c>
      <c r="H21" s="4" t="s">
        <v>83</v>
      </c>
      <c r="I21" s="4" t="s">
        <v>554</v>
      </c>
      <c r="J21" s="5" t="s">
        <v>579</v>
      </c>
      <c r="K21" s="5" t="s">
        <v>580</v>
      </c>
      <c r="L21" s="7" t="s">
        <v>38</v>
      </c>
      <c r="M21" s="9"/>
      <c r="N21" s="4" t="s">
        <v>607</v>
      </c>
      <c r="O21" s="4" t="s">
        <v>582</v>
      </c>
    </row>
    <row r="22" spans="1:15" ht="64" x14ac:dyDescent="0.2">
      <c r="A22" s="4" t="s">
        <v>512</v>
      </c>
      <c r="B22" s="4" t="s">
        <v>603</v>
      </c>
      <c r="C22" s="4" t="s">
        <v>35</v>
      </c>
      <c r="D22" s="4">
        <v>1</v>
      </c>
      <c r="E22" s="5" t="s">
        <v>608</v>
      </c>
      <c r="F22" s="4" t="s">
        <v>609</v>
      </c>
      <c r="G22" s="4" t="s">
        <v>610</v>
      </c>
      <c r="H22" s="4" t="s">
        <v>498</v>
      </c>
      <c r="I22" s="4" t="s">
        <v>568</v>
      </c>
      <c r="J22" s="5" t="s">
        <v>611</v>
      </c>
      <c r="K22" s="5" t="s">
        <v>612</v>
      </c>
      <c r="L22" s="7" t="s">
        <v>38</v>
      </c>
      <c r="M22" s="9"/>
      <c r="N22" s="4" t="s">
        <v>613</v>
      </c>
      <c r="O22" s="4" t="s">
        <v>614</v>
      </c>
    </row>
    <row r="23" spans="1:15" ht="64" x14ac:dyDescent="0.2">
      <c r="A23" s="4" t="s">
        <v>615</v>
      </c>
      <c r="B23" s="4" t="s">
        <v>616</v>
      </c>
      <c r="C23" s="4" t="s">
        <v>35</v>
      </c>
      <c r="D23" s="4">
        <v>1</v>
      </c>
      <c r="E23" s="5" t="s">
        <v>617</v>
      </c>
      <c r="F23" s="4" t="s">
        <v>33</v>
      </c>
      <c r="G23" s="4" t="s">
        <v>226</v>
      </c>
      <c r="H23" s="4" t="s">
        <v>498</v>
      </c>
      <c r="I23" s="4" t="s">
        <v>618</v>
      </c>
      <c r="J23" s="5" t="s">
        <v>619</v>
      </c>
      <c r="K23" s="5" t="s">
        <v>620</v>
      </c>
      <c r="L23" s="7" t="s">
        <v>38</v>
      </c>
      <c r="M23" s="9"/>
      <c r="N23" s="4" t="s">
        <v>621</v>
      </c>
      <c r="O23" s="4" t="s">
        <v>622</v>
      </c>
    </row>
    <row r="24" spans="1:15" ht="64" x14ac:dyDescent="0.2">
      <c r="A24" s="4" t="s">
        <v>615</v>
      </c>
      <c r="B24" s="4" t="s">
        <v>623</v>
      </c>
      <c r="C24" s="4" t="s">
        <v>67</v>
      </c>
      <c r="D24" s="4">
        <v>1</v>
      </c>
      <c r="E24" s="5" t="s">
        <v>624</v>
      </c>
      <c r="F24" s="4" t="s">
        <v>33</v>
      </c>
      <c r="G24" s="4" t="s">
        <v>226</v>
      </c>
      <c r="H24" s="4" t="s">
        <v>498</v>
      </c>
      <c r="I24" s="4" t="s">
        <v>618</v>
      </c>
      <c r="J24" s="5" t="s">
        <v>625</v>
      </c>
      <c r="K24" s="5" t="s">
        <v>626</v>
      </c>
      <c r="L24" s="7" t="s">
        <v>38</v>
      </c>
      <c r="M24" s="9"/>
      <c r="N24" s="4" t="s">
        <v>627</v>
      </c>
      <c r="O24" s="4" t="s">
        <v>628</v>
      </c>
    </row>
    <row r="25" spans="1:15" ht="64" x14ac:dyDescent="0.2">
      <c r="A25" s="4" t="s">
        <v>615</v>
      </c>
      <c r="B25" s="4" t="s">
        <v>629</v>
      </c>
      <c r="C25" s="4" t="s">
        <v>545</v>
      </c>
      <c r="D25" s="4" t="s">
        <v>630</v>
      </c>
      <c r="E25" s="5" t="s">
        <v>227</v>
      </c>
      <c r="F25" s="4" t="s">
        <v>33</v>
      </c>
      <c r="G25" s="4" t="s">
        <v>226</v>
      </c>
      <c r="H25" s="4" t="s">
        <v>498</v>
      </c>
      <c r="I25" s="4" t="s">
        <v>618</v>
      </c>
      <c r="J25" s="5" t="s">
        <v>631</v>
      </c>
      <c r="K25" s="5" t="s">
        <v>632</v>
      </c>
      <c r="L25" s="7" t="s">
        <v>38</v>
      </c>
      <c r="M25" s="9"/>
      <c r="N25" s="4" t="s">
        <v>633</v>
      </c>
      <c r="O25" s="4" t="s">
        <v>634</v>
      </c>
    </row>
    <row r="26" spans="1:15" ht="64" x14ac:dyDescent="0.2">
      <c r="A26" s="4" t="s">
        <v>635</v>
      </c>
      <c r="B26" s="4" t="s">
        <v>636</v>
      </c>
      <c r="C26" s="4" t="s">
        <v>58</v>
      </c>
      <c r="D26" s="4">
        <v>9</v>
      </c>
      <c r="E26" s="5" t="s">
        <v>637</v>
      </c>
      <c r="F26" s="4" t="s">
        <v>33</v>
      </c>
      <c r="G26" s="4" t="s">
        <v>638</v>
      </c>
      <c r="H26" s="4" t="s">
        <v>515</v>
      </c>
      <c r="I26" s="4" t="s">
        <v>639</v>
      </c>
      <c r="J26" s="5" t="s">
        <v>640</v>
      </c>
      <c r="K26" s="5" t="s">
        <v>641</v>
      </c>
      <c r="L26" s="7" t="s">
        <v>38</v>
      </c>
      <c r="M26" s="9"/>
      <c r="N26" s="4" t="s">
        <v>642</v>
      </c>
      <c r="O26" s="4" t="s">
        <v>643</v>
      </c>
    </row>
    <row r="27" spans="1:15" ht="64" x14ac:dyDescent="0.2">
      <c r="A27" s="4" t="s">
        <v>635</v>
      </c>
      <c r="B27" s="4" t="s">
        <v>644</v>
      </c>
      <c r="C27" s="4" t="s">
        <v>58</v>
      </c>
      <c r="D27" s="4">
        <v>11</v>
      </c>
      <c r="E27" s="5" t="s">
        <v>637</v>
      </c>
      <c r="F27" s="4" t="s">
        <v>33</v>
      </c>
      <c r="G27" s="4" t="s">
        <v>638</v>
      </c>
      <c r="H27" s="4" t="s">
        <v>515</v>
      </c>
      <c r="I27" s="4" t="s">
        <v>645</v>
      </c>
      <c r="J27" s="5" t="s">
        <v>646</v>
      </c>
      <c r="K27" s="5" t="s">
        <v>647</v>
      </c>
      <c r="L27" s="7" t="s">
        <v>38</v>
      </c>
      <c r="M27" s="9"/>
      <c r="N27" s="4" t="s">
        <v>648</v>
      </c>
      <c r="O27" s="4" t="s">
        <v>649</v>
      </c>
    </row>
    <row r="28" spans="1:15" ht="64" x14ac:dyDescent="0.2">
      <c r="A28" s="4" t="s">
        <v>635</v>
      </c>
      <c r="B28" s="4" t="s">
        <v>650</v>
      </c>
      <c r="C28" s="4" t="s">
        <v>58</v>
      </c>
      <c r="D28" s="4">
        <v>14</v>
      </c>
      <c r="E28" s="5" t="s">
        <v>637</v>
      </c>
      <c r="F28" s="4" t="s">
        <v>33</v>
      </c>
      <c r="G28" s="4" t="s">
        <v>638</v>
      </c>
      <c r="H28" s="4" t="s">
        <v>515</v>
      </c>
      <c r="I28" s="4" t="s">
        <v>651</v>
      </c>
      <c r="J28" s="5" t="s">
        <v>652</v>
      </c>
      <c r="K28" s="5" t="s">
        <v>653</v>
      </c>
      <c r="L28" s="7" t="s">
        <v>38</v>
      </c>
      <c r="M28" s="9"/>
      <c r="N28" s="4" t="s">
        <v>654</v>
      </c>
      <c r="O28" s="4" t="s">
        <v>655</v>
      </c>
    </row>
    <row r="29" spans="1:15" ht="64" x14ac:dyDescent="0.2">
      <c r="A29" s="4" t="s">
        <v>635</v>
      </c>
      <c r="B29" s="4" t="s">
        <v>656</v>
      </c>
      <c r="C29" s="4" t="s">
        <v>58</v>
      </c>
      <c r="D29" s="4">
        <v>17</v>
      </c>
      <c r="E29" s="5" t="s">
        <v>637</v>
      </c>
      <c r="F29" s="4" t="s">
        <v>33</v>
      </c>
      <c r="G29" s="4" t="s">
        <v>638</v>
      </c>
      <c r="H29" s="4" t="s">
        <v>515</v>
      </c>
      <c r="I29" s="4" t="s">
        <v>657</v>
      </c>
      <c r="J29" s="5" t="s">
        <v>658</v>
      </c>
      <c r="K29" s="5" t="s">
        <v>659</v>
      </c>
      <c r="L29" s="7" t="s">
        <v>38</v>
      </c>
      <c r="M29" s="9"/>
      <c r="N29" s="4" t="s">
        <v>660</v>
      </c>
      <c r="O29" s="4" t="s">
        <v>661</v>
      </c>
    </row>
    <row r="30" spans="1:15" ht="64" x14ac:dyDescent="0.2">
      <c r="A30" s="4" t="s">
        <v>635</v>
      </c>
      <c r="B30" s="4" t="s">
        <v>662</v>
      </c>
      <c r="C30" s="4" t="s">
        <v>58</v>
      </c>
      <c r="D30" s="4">
        <v>20</v>
      </c>
      <c r="E30" s="5" t="s">
        <v>637</v>
      </c>
      <c r="F30" s="4" t="s">
        <v>33</v>
      </c>
      <c r="G30" s="4" t="s">
        <v>638</v>
      </c>
      <c r="H30" s="4" t="s">
        <v>515</v>
      </c>
      <c r="I30" s="4" t="s">
        <v>663</v>
      </c>
      <c r="J30" s="5" t="s">
        <v>664</v>
      </c>
      <c r="K30" s="5" t="s">
        <v>665</v>
      </c>
      <c r="L30" s="7" t="s">
        <v>38</v>
      </c>
      <c r="M30" s="9"/>
      <c r="N30" s="4" t="s">
        <v>666</v>
      </c>
      <c r="O30" s="4" t="s">
        <v>667</v>
      </c>
    </row>
    <row r="31" spans="1:15" ht="64" x14ac:dyDescent="0.2">
      <c r="A31" s="4" t="s">
        <v>635</v>
      </c>
      <c r="B31" s="4" t="s">
        <v>668</v>
      </c>
      <c r="C31" s="4" t="s">
        <v>58</v>
      </c>
      <c r="D31" s="4">
        <v>23</v>
      </c>
      <c r="E31" s="5" t="s">
        <v>637</v>
      </c>
      <c r="F31" s="4" t="s">
        <v>33</v>
      </c>
      <c r="G31" s="4" t="s">
        <v>638</v>
      </c>
      <c r="H31" s="4" t="s">
        <v>515</v>
      </c>
      <c r="I31" s="4" t="s">
        <v>669</v>
      </c>
      <c r="J31" s="5" t="s">
        <v>670</v>
      </c>
      <c r="K31" s="5" t="s">
        <v>671</v>
      </c>
      <c r="L31" s="7" t="s">
        <v>38</v>
      </c>
      <c r="M31" s="9"/>
      <c r="N31" s="4" t="s">
        <v>672</v>
      </c>
      <c r="O31" s="4" t="s">
        <v>673</v>
      </c>
    </row>
    <row r="32" spans="1:15" ht="64" x14ac:dyDescent="0.2">
      <c r="A32" s="4" t="s">
        <v>635</v>
      </c>
      <c r="B32" s="4" t="s">
        <v>674</v>
      </c>
      <c r="C32" s="4" t="s">
        <v>58</v>
      </c>
      <c r="D32" s="4">
        <v>26</v>
      </c>
      <c r="E32" s="5" t="s">
        <v>637</v>
      </c>
      <c r="F32" s="4" t="s">
        <v>33</v>
      </c>
      <c r="G32" s="4" t="s">
        <v>638</v>
      </c>
      <c r="H32" s="4" t="s">
        <v>515</v>
      </c>
      <c r="I32" s="4" t="s">
        <v>675</v>
      </c>
      <c r="J32" s="5" t="s">
        <v>676</v>
      </c>
      <c r="K32" s="5" t="s">
        <v>677</v>
      </c>
      <c r="L32" s="7" t="s">
        <v>38</v>
      </c>
      <c r="M32" s="9"/>
      <c r="N32" s="4" t="s">
        <v>678</v>
      </c>
      <c r="O32" s="4" t="s">
        <v>679</v>
      </c>
    </row>
    <row r="33" spans="1:15" ht="32" x14ac:dyDescent="0.2">
      <c r="A33" s="4" t="s">
        <v>504</v>
      </c>
      <c r="B33" s="4" t="s">
        <v>680</v>
      </c>
      <c r="C33" s="4" t="s">
        <v>58</v>
      </c>
      <c r="D33" s="4">
        <v>14</v>
      </c>
      <c r="E33" s="5" t="s">
        <v>681</v>
      </c>
      <c r="F33" s="4" t="s">
        <v>56</v>
      </c>
      <c r="G33" s="4" t="s">
        <v>682</v>
      </c>
      <c r="H33" s="4" t="s">
        <v>34</v>
      </c>
      <c r="I33" s="4" t="s">
        <v>683</v>
      </c>
      <c r="J33" s="5" t="s">
        <v>684</v>
      </c>
      <c r="K33" s="5" t="s">
        <v>685</v>
      </c>
      <c r="L33" s="7" t="s">
        <v>38</v>
      </c>
      <c r="M33" s="9"/>
      <c r="N33" s="4" t="s">
        <v>686</v>
      </c>
      <c r="O33" s="4" t="s">
        <v>687</v>
      </c>
    </row>
    <row r="34" spans="1:15" ht="32" x14ac:dyDescent="0.2">
      <c r="A34" s="4" t="s">
        <v>504</v>
      </c>
      <c r="B34" s="4" t="s">
        <v>680</v>
      </c>
      <c r="C34" s="4" t="s">
        <v>58</v>
      </c>
      <c r="D34" s="4">
        <v>14</v>
      </c>
      <c r="E34" s="5" t="s">
        <v>681</v>
      </c>
      <c r="F34" s="4" t="s">
        <v>56</v>
      </c>
      <c r="G34" s="4" t="s">
        <v>682</v>
      </c>
      <c r="H34" s="4" t="s">
        <v>688</v>
      </c>
      <c r="I34" s="4" t="s">
        <v>683</v>
      </c>
      <c r="J34" s="5" t="s">
        <v>689</v>
      </c>
      <c r="K34" s="5" t="s">
        <v>690</v>
      </c>
      <c r="L34" s="7" t="s">
        <v>38</v>
      </c>
      <c r="M34" s="9"/>
      <c r="N34" s="4" t="s">
        <v>691</v>
      </c>
      <c r="O34" s="4" t="s">
        <v>692</v>
      </c>
    </row>
    <row r="35" spans="1:15" ht="48" x14ac:dyDescent="0.2">
      <c r="A35" s="4" t="s">
        <v>504</v>
      </c>
      <c r="B35" s="4" t="s">
        <v>680</v>
      </c>
      <c r="C35" s="4" t="s">
        <v>58</v>
      </c>
      <c r="D35" s="4">
        <v>14</v>
      </c>
      <c r="E35" s="5" t="s">
        <v>681</v>
      </c>
      <c r="F35" s="4" t="s">
        <v>56</v>
      </c>
      <c r="G35" s="4" t="s">
        <v>682</v>
      </c>
      <c r="H35" s="4" t="s">
        <v>57</v>
      </c>
      <c r="I35" s="4" t="s">
        <v>683</v>
      </c>
      <c r="J35" s="5" t="s">
        <v>693</v>
      </c>
      <c r="K35" s="5" t="s">
        <v>694</v>
      </c>
      <c r="L35" s="7" t="s">
        <v>38</v>
      </c>
      <c r="M35" s="9"/>
      <c r="N35" s="4" t="s">
        <v>695</v>
      </c>
      <c r="O35" s="4" t="s">
        <v>696</v>
      </c>
    </row>
    <row r="36" spans="1:15" ht="32" x14ac:dyDescent="0.2">
      <c r="A36" s="4" t="s">
        <v>504</v>
      </c>
      <c r="B36" s="4" t="s">
        <v>680</v>
      </c>
      <c r="C36" s="4" t="s">
        <v>58</v>
      </c>
      <c r="D36" s="4">
        <v>14</v>
      </c>
      <c r="E36" s="5" t="s">
        <v>681</v>
      </c>
      <c r="F36" s="4" t="s">
        <v>56</v>
      </c>
      <c r="G36" s="4" t="s">
        <v>682</v>
      </c>
      <c r="H36" s="4" t="s">
        <v>697</v>
      </c>
      <c r="I36" s="4" t="s">
        <v>683</v>
      </c>
      <c r="J36" s="5" t="s">
        <v>698</v>
      </c>
      <c r="K36" s="5" t="s">
        <v>699</v>
      </c>
      <c r="L36" s="7" t="s">
        <v>38</v>
      </c>
      <c r="M36" s="9"/>
      <c r="N36" s="4" t="s">
        <v>700</v>
      </c>
      <c r="O36" s="4" t="s">
        <v>701</v>
      </c>
    </row>
    <row r="37" spans="1:15" ht="32" x14ac:dyDescent="0.2">
      <c r="A37" s="4" t="s">
        <v>504</v>
      </c>
      <c r="B37" s="4" t="s">
        <v>702</v>
      </c>
      <c r="C37" s="4" t="s">
        <v>47</v>
      </c>
      <c r="D37" s="4">
        <v>97</v>
      </c>
      <c r="E37" s="5" t="s">
        <v>681</v>
      </c>
      <c r="F37" s="4" t="s">
        <v>56</v>
      </c>
      <c r="G37" s="4" t="s">
        <v>682</v>
      </c>
      <c r="H37" s="4" t="s">
        <v>78</v>
      </c>
      <c r="I37" s="4" t="s">
        <v>683</v>
      </c>
      <c r="J37" s="5" t="s">
        <v>703</v>
      </c>
      <c r="K37" s="5" t="s">
        <v>704</v>
      </c>
      <c r="L37" s="7" t="s">
        <v>38</v>
      </c>
      <c r="M37" s="9"/>
      <c r="N37" s="4" t="s">
        <v>705</v>
      </c>
      <c r="O37" s="4" t="s">
        <v>706</v>
      </c>
    </row>
    <row r="38" spans="1:15" ht="48" x14ac:dyDescent="0.2">
      <c r="A38" s="4" t="s">
        <v>615</v>
      </c>
      <c r="B38" s="4" t="s">
        <v>559</v>
      </c>
      <c r="C38" s="4" t="s">
        <v>545</v>
      </c>
      <c r="D38" s="4">
        <v>5</v>
      </c>
      <c r="E38" s="5" t="s">
        <v>707</v>
      </c>
      <c r="F38" s="4" t="s">
        <v>56</v>
      </c>
      <c r="G38" s="4" t="s">
        <v>708</v>
      </c>
      <c r="H38" s="4" t="s">
        <v>83</v>
      </c>
      <c r="I38" s="4" t="s">
        <v>618</v>
      </c>
      <c r="J38" s="5" t="s">
        <v>709</v>
      </c>
      <c r="K38" s="5" t="s">
        <v>710</v>
      </c>
      <c r="L38" s="7" t="s">
        <v>38</v>
      </c>
      <c r="M38" s="9"/>
      <c r="N38" s="4" t="s">
        <v>711</v>
      </c>
      <c r="O38" s="4" t="s">
        <v>712</v>
      </c>
    </row>
    <row r="39" spans="1:15" ht="64" x14ac:dyDescent="0.2">
      <c r="A39" s="4" t="s">
        <v>504</v>
      </c>
      <c r="B39" s="4" t="s">
        <v>713</v>
      </c>
      <c r="C39" s="4" t="s">
        <v>35</v>
      </c>
      <c r="D39" s="4">
        <v>8</v>
      </c>
      <c r="E39" s="5" t="s">
        <v>714</v>
      </c>
      <c r="F39" s="4" t="s">
        <v>33</v>
      </c>
      <c r="G39" s="4" t="s">
        <v>715</v>
      </c>
      <c r="H39" s="4" t="s">
        <v>73</v>
      </c>
      <c r="I39" s="4" t="s">
        <v>716</v>
      </c>
      <c r="J39" s="5" t="s">
        <v>717</v>
      </c>
      <c r="K39" s="5" t="s">
        <v>718</v>
      </c>
      <c r="L39" s="7" t="s">
        <v>38</v>
      </c>
      <c r="M39" s="9"/>
      <c r="N39" s="4" t="s">
        <v>719</v>
      </c>
      <c r="O39" s="4" t="s">
        <v>720</v>
      </c>
    </row>
    <row r="40" spans="1:15" ht="64" x14ac:dyDescent="0.2">
      <c r="A40" s="4" t="s">
        <v>504</v>
      </c>
      <c r="B40" s="4" t="s">
        <v>721</v>
      </c>
      <c r="C40" s="4" t="s">
        <v>47</v>
      </c>
      <c r="D40" s="4">
        <v>102</v>
      </c>
      <c r="E40" s="5" t="s">
        <v>722</v>
      </c>
      <c r="F40" s="4" t="s">
        <v>33</v>
      </c>
      <c r="G40" s="4" t="s">
        <v>723</v>
      </c>
      <c r="H40" s="4" t="s">
        <v>724</v>
      </c>
      <c r="I40" s="4" t="s">
        <v>725</v>
      </c>
      <c r="J40" s="5" t="s">
        <v>726</v>
      </c>
      <c r="K40" s="5" t="s">
        <v>727</v>
      </c>
      <c r="L40" s="7" t="s">
        <v>38</v>
      </c>
      <c r="M40" s="9"/>
      <c r="N40" s="4" t="s">
        <v>728</v>
      </c>
      <c r="O40" s="4" t="s">
        <v>729</v>
      </c>
    </row>
    <row r="41" spans="1:15" ht="64" x14ac:dyDescent="0.2">
      <c r="A41" s="4" t="s">
        <v>578</v>
      </c>
      <c r="B41" s="4" t="s">
        <v>513</v>
      </c>
      <c r="C41" s="4" t="s">
        <v>47</v>
      </c>
      <c r="D41" s="4">
        <v>97</v>
      </c>
      <c r="E41" s="5" t="s">
        <v>722</v>
      </c>
      <c r="F41" s="4" t="s">
        <v>33</v>
      </c>
      <c r="G41" s="4" t="s">
        <v>723</v>
      </c>
      <c r="H41" s="4" t="s">
        <v>724</v>
      </c>
      <c r="I41" s="4" t="s">
        <v>725</v>
      </c>
      <c r="J41" s="5" t="s">
        <v>730</v>
      </c>
      <c r="K41" s="5" t="s">
        <v>731</v>
      </c>
      <c r="L41" s="7" t="s">
        <v>38</v>
      </c>
      <c r="M41" s="9"/>
      <c r="N41" s="4" t="s">
        <v>732</v>
      </c>
      <c r="O41" s="4" t="s">
        <v>733</v>
      </c>
    </row>
    <row r="42" spans="1:15" ht="64" x14ac:dyDescent="0.2">
      <c r="A42" s="4" t="s">
        <v>734</v>
      </c>
      <c r="B42" s="4" t="s">
        <v>735</v>
      </c>
      <c r="C42" s="4" t="s">
        <v>58</v>
      </c>
      <c r="D42" s="4">
        <v>9</v>
      </c>
      <c r="E42" s="5" t="s">
        <v>227</v>
      </c>
      <c r="F42" s="4" t="s">
        <v>33</v>
      </c>
      <c r="G42" s="4" t="s">
        <v>226</v>
      </c>
      <c r="H42" s="4" t="s">
        <v>498</v>
      </c>
      <c r="I42" s="4" t="s">
        <v>736</v>
      </c>
      <c r="J42" s="5" t="s">
        <v>737</v>
      </c>
      <c r="K42" s="5" t="s">
        <v>738</v>
      </c>
      <c r="L42" s="7" t="s">
        <v>38</v>
      </c>
      <c r="M42" s="9"/>
      <c r="N42" s="4" t="s">
        <v>739</v>
      </c>
      <c r="O42" s="4" t="s">
        <v>740</v>
      </c>
    </row>
    <row r="43" spans="1:15" ht="64" x14ac:dyDescent="0.2">
      <c r="A43" s="4" t="s">
        <v>734</v>
      </c>
      <c r="B43" s="4" t="s">
        <v>741</v>
      </c>
      <c r="C43" s="4" t="s">
        <v>47</v>
      </c>
      <c r="D43" s="4">
        <v>97</v>
      </c>
      <c r="E43" s="5" t="s">
        <v>227</v>
      </c>
      <c r="F43" s="4" t="s">
        <v>33</v>
      </c>
      <c r="G43" s="4" t="s">
        <v>226</v>
      </c>
      <c r="H43" s="4" t="s">
        <v>498</v>
      </c>
      <c r="I43" s="4" t="s">
        <v>736</v>
      </c>
      <c r="J43" s="5" t="s">
        <v>742</v>
      </c>
      <c r="K43" s="5" t="s">
        <v>743</v>
      </c>
      <c r="L43" s="7" t="s">
        <v>38</v>
      </c>
      <c r="M43" s="9"/>
      <c r="N43" s="4" t="s">
        <v>744</v>
      </c>
      <c r="O43" s="4" t="s">
        <v>745</v>
      </c>
    </row>
    <row r="44" spans="1:15" ht="32" x14ac:dyDescent="0.2">
      <c r="A44" s="4" t="s">
        <v>734</v>
      </c>
      <c r="B44" s="4" t="s">
        <v>746</v>
      </c>
      <c r="C44" s="4" t="s">
        <v>545</v>
      </c>
      <c r="D44" s="4">
        <v>1</v>
      </c>
      <c r="E44" s="5" t="s">
        <v>707</v>
      </c>
      <c r="F44" s="4" t="s">
        <v>56</v>
      </c>
      <c r="G44" s="4" t="s">
        <v>708</v>
      </c>
      <c r="H44" s="4" t="s">
        <v>747</v>
      </c>
      <c r="I44" s="4" t="s">
        <v>748</v>
      </c>
      <c r="J44" s="5" t="s">
        <v>749</v>
      </c>
      <c r="K44" s="5" t="s">
        <v>750</v>
      </c>
      <c r="L44" s="7" t="s">
        <v>38</v>
      </c>
      <c r="M44" s="9"/>
      <c r="N44" s="4" t="s">
        <v>751</v>
      </c>
      <c r="O44" s="4" t="s">
        <v>752</v>
      </c>
    </row>
    <row r="45" spans="1:15" ht="48" x14ac:dyDescent="0.2">
      <c r="A45" s="4" t="s">
        <v>734</v>
      </c>
      <c r="B45" s="4" t="s">
        <v>753</v>
      </c>
      <c r="C45" s="4"/>
      <c r="D45" s="4"/>
      <c r="E45" s="5" t="s">
        <v>754</v>
      </c>
      <c r="F45" s="4"/>
      <c r="G45" s="4" t="s">
        <v>682</v>
      </c>
      <c r="H45" s="4" t="s">
        <v>755</v>
      </c>
      <c r="I45" s="4" t="s">
        <v>748</v>
      </c>
      <c r="J45" s="5"/>
      <c r="K45" s="5" t="s">
        <v>756</v>
      </c>
      <c r="L45" s="7" t="s">
        <v>38</v>
      </c>
      <c r="M45" s="9"/>
      <c r="N45" s="4" t="s">
        <v>757</v>
      </c>
      <c r="O45" s="4" t="s">
        <v>758</v>
      </c>
    </row>
    <row r="46" spans="1:15" ht="48" x14ac:dyDescent="0.2">
      <c r="A46" s="4" t="s">
        <v>734</v>
      </c>
      <c r="B46" s="4" t="s">
        <v>759</v>
      </c>
      <c r="C46" s="4" t="s">
        <v>35</v>
      </c>
      <c r="D46" s="4" t="s">
        <v>584</v>
      </c>
      <c r="E46" s="5" t="s">
        <v>760</v>
      </c>
      <c r="F46" s="4" t="s">
        <v>33</v>
      </c>
      <c r="G46" s="4" t="s">
        <v>610</v>
      </c>
      <c r="H46" s="4" t="s">
        <v>34</v>
      </c>
      <c r="I46" s="4" t="s">
        <v>761</v>
      </c>
      <c r="J46" s="5" t="s">
        <v>762</v>
      </c>
      <c r="K46" s="5" t="s">
        <v>763</v>
      </c>
      <c r="L46" s="7" t="s">
        <v>38</v>
      </c>
      <c r="M46" s="9"/>
      <c r="N46" s="4" t="s">
        <v>764</v>
      </c>
      <c r="O46" s="4" t="s">
        <v>765</v>
      </c>
    </row>
    <row r="47" spans="1:15" ht="80" x14ac:dyDescent="0.2">
      <c r="A47" s="4" t="s">
        <v>734</v>
      </c>
      <c r="B47" s="4" t="s">
        <v>766</v>
      </c>
      <c r="C47" s="4" t="s">
        <v>35</v>
      </c>
      <c r="D47" s="4">
        <v>1</v>
      </c>
      <c r="E47" s="5" t="s">
        <v>608</v>
      </c>
      <c r="F47" s="4" t="s">
        <v>33</v>
      </c>
      <c r="G47" s="4" t="s">
        <v>610</v>
      </c>
      <c r="H47" s="4" t="s">
        <v>567</v>
      </c>
      <c r="I47" s="4" t="s">
        <v>761</v>
      </c>
      <c r="J47" s="5" t="s">
        <v>767</v>
      </c>
      <c r="K47" s="5" t="s">
        <v>768</v>
      </c>
      <c r="L47" s="7" t="s">
        <v>38</v>
      </c>
      <c r="M47" s="9"/>
      <c r="N47" s="4" t="s">
        <v>769</v>
      </c>
      <c r="O47" s="4" t="s">
        <v>770</v>
      </c>
    </row>
    <row r="48" spans="1:15" ht="96" x14ac:dyDescent="0.2">
      <c r="A48" s="4" t="s">
        <v>734</v>
      </c>
      <c r="B48" s="4" t="s">
        <v>771</v>
      </c>
      <c r="C48" s="4" t="s">
        <v>67</v>
      </c>
      <c r="D48" s="4" t="s">
        <v>772</v>
      </c>
      <c r="E48" s="5" t="s">
        <v>65</v>
      </c>
      <c r="F48" s="4" t="s">
        <v>33</v>
      </c>
      <c r="G48" s="4" t="s">
        <v>610</v>
      </c>
      <c r="H48" s="4" t="s">
        <v>586</v>
      </c>
      <c r="I48" s="4" t="s">
        <v>761</v>
      </c>
      <c r="J48" s="5" t="s">
        <v>773</v>
      </c>
      <c r="K48" s="5" t="s">
        <v>774</v>
      </c>
      <c r="L48" s="7" t="s">
        <v>38</v>
      </c>
      <c r="M48" s="9"/>
      <c r="N48" s="4" t="s">
        <v>775</v>
      </c>
      <c r="O48" s="4" t="s">
        <v>776</v>
      </c>
    </row>
    <row r="49" spans="1:15" ht="48" x14ac:dyDescent="0.2">
      <c r="A49" s="4" t="s">
        <v>777</v>
      </c>
      <c r="B49" s="4" t="s">
        <v>778</v>
      </c>
      <c r="C49" s="4" t="s">
        <v>779</v>
      </c>
      <c r="D49" s="4" t="s">
        <v>780</v>
      </c>
      <c r="E49" s="5" t="s">
        <v>781</v>
      </c>
      <c r="F49" s="4" t="s">
        <v>33</v>
      </c>
      <c r="G49" s="4" t="s">
        <v>182</v>
      </c>
      <c r="H49" s="4" t="s">
        <v>498</v>
      </c>
      <c r="I49" s="4" t="s">
        <v>782</v>
      </c>
      <c r="J49" s="5" t="s">
        <v>783</v>
      </c>
      <c r="K49" s="5" t="s">
        <v>784</v>
      </c>
      <c r="L49" s="7" t="s">
        <v>38</v>
      </c>
      <c r="M49" s="9"/>
      <c r="N49" s="4" t="s">
        <v>785</v>
      </c>
      <c r="O49" s="4" t="s">
        <v>786</v>
      </c>
    </row>
    <row r="50" spans="1:15" ht="64" x14ac:dyDescent="0.2">
      <c r="A50" s="4" t="s">
        <v>777</v>
      </c>
      <c r="B50" s="4" t="s">
        <v>787</v>
      </c>
      <c r="C50" s="4" t="s">
        <v>788</v>
      </c>
      <c r="D50" s="4" t="s">
        <v>789</v>
      </c>
      <c r="E50" s="5" t="s">
        <v>790</v>
      </c>
      <c r="F50" s="4" t="s">
        <v>56</v>
      </c>
      <c r="G50" s="4" t="s">
        <v>791</v>
      </c>
      <c r="H50" s="4" t="s">
        <v>83</v>
      </c>
      <c r="I50" s="4" t="s">
        <v>792</v>
      </c>
      <c r="J50" s="5" t="s">
        <v>793</v>
      </c>
      <c r="K50" s="5" t="s">
        <v>794</v>
      </c>
      <c r="L50" s="7" t="s">
        <v>38</v>
      </c>
      <c r="M50" s="9"/>
      <c r="N50" s="4" t="s">
        <v>795</v>
      </c>
      <c r="O50" s="4" t="s">
        <v>796</v>
      </c>
    </row>
  </sheetData>
  <autoFilter ref="A2:M50" xr:uid="{00000000-0009-0000-0000-000006000000}"/>
  <conditionalFormatting sqref="A3:M50">
    <cfRule type="expression" dxfId="0" priority="1">
      <formula>$L3="ja"</formula>
    </cfRule>
  </conditionalFormatting>
  <dataValidations count="1">
    <dataValidation type="list" allowBlank="1" sqref="L3:L50" xr:uid="{00000000-0002-0000-0600-000000000000}">
      <formula1>"ja"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Anleitung</vt:lpstr>
      <vt:lpstr>Zweitlesung</vt:lpstr>
      <vt:lpstr>Bildseiten</vt:lpstr>
      <vt:lpstr>Spalten</vt:lpstr>
      <vt:lpstr>Zeilen</vt:lpstr>
      <vt:lpstr>Fußnoten</vt:lpstr>
      <vt:lpstr>Entscheidungen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Plischke</cp:lastModifiedBy>
  <dcterms:created xsi:type="dcterms:W3CDTF">2026-10-18T20:27:07Z</dcterms:created>
  <dcterms:modified xsi:type="dcterms:W3CDTF">2026-10-18T20:27:56Z</dcterms:modified>
</cp:coreProperties>
</file>